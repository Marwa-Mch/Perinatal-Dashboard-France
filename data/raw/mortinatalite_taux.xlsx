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ick.vilain\Documents\Documents\vilain\pmsi-mco\PMSI2023-SNDS\sans comparaison qualiN\"/>
    </mc:Choice>
  </mc:AlternateContent>
  <xr:revisionPtr revIDLastSave="0" documentId="13_ncr:1_{ECF1A4CB-5890-4AE0-BE84-FE42FFC4488F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présentation et méthode" sheetId="2" r:id="rId1"/>
    <sheet name="Tx mortinatalit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7" i="3" l="1"/>
  <c r="AX21" i="3"/>
  <c r="AX28" i="3" s="1"/>
</calcChain>
</file>

<file path=xl/sharedStrings.xml><?xml version="1.0" encoding="utf-8"?>
<sst xmlns="http://schemas.openxmlformats.org/spreadsheetml/2006/main" count="115" uniqueCount="66">
  <si>
    <t>IMG</t>
  </si>
  <si>
    <t>Mortinatalité totale</t>
  </si>
  <si>
    <t>Mortinatalité spontanée</t>
  </si>
  <si>
    <t>Normandie</t>
  </si>
  <si>
    <t>Grand Est</t>
  </si>
  <si>
    <t>Corse</t>
  </si>
  <si>
    <t>Guyane</t>
  </si>
  <si>
    <t>Mayotte</t>
  </si>
  <si>
    <t>Guadeloupe</t>
  </si>
  <si>
    <t>Martinique</t>
  </si>
  <si>
    <t>Bretagne</t>
  </si>
  <si>
    <t>source : PMSI-MCO</t>
  </si>
  <si>
    <t>champ : morts-nés domiciliés</t>
  </si>
  <si>
    <t>effectif naissances</t>
  </si>
  <si>
    <t>effectifs naissances</t>
  </si>
  <si>
    <r>
      <rPr>
        <b/>
        <sz val="10"/>
        <color theme="1"/>
        <rFont val="Arial"/>
        <family val="2"/>
      </rPr>
      <t>Indicateurs  :</t>
    </r>
    <r>
      <rPr>
        <sz val="10"/>
        <color theme="1"/>
        <rFont val="Arial"/>
        <family val="2"/>
      </rPr>
      <t xml:space="preserve"> 
- Taux de mortinatalité par année et par région
- Taux de mortinatalité spontanée par année et par région
- Taux de mortinatalité induite (interruptions médicales de grossesse) par année et par région
- Nombre de naissances totales par année et par région (dénominateur)
</t>
    </r>
  </si>
  <si>
    <t>Zone géographique</t>
  </si>
  <si>
    <t>Ile-de-France</t>
  </si>
  <si>
    <t>Centre -  Val de Loire</t>
  </si>
  <si>
    <t>Bourgogne -  Franche-Comté</t>
  </si>
  <si>
    <t>Hauts-de-France</t>
  </si>
  <si>
    <t>Pays de la Loire</t>
  </si>
  <si>
    <t>Nouvelle-Aquitaine</t>
  </si>
  <si>
    <t>Occitanie</t>
  </si>
  <si>
    <t>Auvergne -  Rhône-Alpes</t>
  </si>
  <si>
    <t>Provence - Alpes - Côte d'Azur</t>
  </si>
  <si>
    <t>Total métropole</t>
  </si>
  <si>
    <t>Total DROM</t>
  </si>
  <si>
    <t>Total France entière</t>
  </si>
  <si>
    <t xml:space="preserve">Taux de mortinatalité estimée* (totale, spontanée, IMG) p 1000 enfants </t>
  </si>
  <si>
    <t>Code CIM10</t>
  </si>
  <si>
    <t>Nbre total naissances estimées</t>
  </si>
  <si>
    <t>Nbre naissances vivantes</t>
  </si>
  <si>
    <t>Nbre mort-nés (sponbtané/IMG)</t>
  </si>
  <si>
    <t>Z37.0</t>
  </si>
  <si>
    <t>Z37.10</t>
  </si>
  <si>
    <t>1 (1/0)</t>
  </si>
  <si>
    <t>Z37.11</t>
  </si>
  <si>
    <t>1 (0/1)</t>
  </si>
  <si>
    <t>Z37.2</t>
  </si>
  <si>
    <t>Z37.30</t>
  </si>
  <si>
    <r>
      <rPr>
        <b/>
        <sz val="10"/>
        <color theme="1"/>
        <rFont val="Arial"/>
        <family val="2"/>
      </rPr>
      <t>Limites</t>
    </r>
    <r>
      <rPr>
        <sz val="10"/>
        <color theme="1"/>
        <rFont val="Arial"/>
        <family val="2"/>
      </rPr>
      <t> : Le nombre de naissances peut être légèrement sous estimé, du fait de l’absence des accouchements à domicile, 
sans hospitalisation dans les suites immédiates</t>
    </r>
  </si>
  <si>
    <t>Z37.31</t>
  </si>
  <si>
    <t>0 (0/0)</t>
  </si>
  <si>
    <t>Z37.41</t>
  </si>
  <si>
    <t>Z37.40</t>
  </si>
  <si>
    <t>Z37.5</t>
  </si>
  <si>
    <t>Z37.60</t>
  </si>
  <si>
    <t>Z37.70</t>
  </si>
  <si>
    <t>Z37.71</t>
  </si>
  <si>
    <t>Z37.61</t>
  </si>
  <si>
    <t>2 (2/0)</t>
  </si>
  <si>
    <t>2 (0/2)</t>
  </si>
  <si>
    <t>3 (3/0)</t>
  </si>
  <si>
    <t>3 (0/3)</t>
  </si>
  <si>
    <r>
      <rPr>
        <b/>
        <sz val="10"/>
        <color theme="1"/>
        <rFont val="Arial"/>
        <family val="2"/>
      </rPr>
      <t>Champ</t>
    </r>
    <r>
      <rPr>
        <sz val="10"/>
        <color theme="1"/>
        <rFont val="Arial"/>
        <family val="2"/>
      </rPr>
      <t xml:space="preserve"> : 
France entière (métropole et DROM)
Naissances domiciliées
Les indicateurs sont présentés à partir de l'année 2012
Les interruptions médicales de grossesse prises en compte sont celles donnant lieu à un accouchement selon la définition retenue en France
 (durée de grossesse supérieure ou égale à  22 SA OU poids de l'enfant supérieur ou égal à 500g). 
En cas de grossesse multiple, si l'IMG ne concerne pas tous les foetus, la date indiquée est celle de l'accouchement du ou des enfants 
pour lequel (lesquels) il n'y a pas eu d'IMG. Les foetus de moins de 200g ne sont pas pris en compte.</t>
    </r>
  </si>
  <si>
    <r>
      <rPr>
        <b/>
        <sz val="10"/>
        <color theme="1"/>
        <rFont val="Arial"/>
        <family val="2"/>
      </rPr>
      <t>Source</t>
    </r>
    <r>
      <rPr>
        <sz val="10"/>
        <color theme="1"/>
        <rFont val="Arial"/>
        <family val="2"/>
      </rPr>
      <t xml:space="preserve"> : PMSI-MCO, ATIH, bases corrigées Drees</t>
    </r>
  </si>
  <si>
    <r>
      <rPr>
        <b/>
        <sz val="10"/>
        <color theme="1"/>
        <rFont val="Arial"/>
        <family val="2"/>
      </rPr>
      <t>Construction des indicateurs</t>
    </r>
    <r>
      <rPr>
        <sz val="10"/>
        <color theme="1"/>
        <rFont val="Arial"/>
        <family val="2"/>
      </rPr>
      <t> : les indicateurs sont calculés à partir des séjours des mères selon les modalités suivantes :
Séjours des mères = séjours d'accouchement : présence d'un code Z37 ou d'un acte d'accouchement (liste A23 V11f), avec contrôles de cohérence
Nombre de naissances estimées à partir des séjours des mères :  utilisation des extensions des codes Z37 pour déterminer le nombre de naissances (cf tableau ci-dessous). 
Les accouchements multiples sont repérés par les extensions des codes Z37 ou par certains actes d'accouchement ("JQGD0020","JQGD0070","YYY0690")
ou par chaînage avec les séjours des nouveau-nés lorsque cela est possible</t>
    </r>
  </si>
  <si>
    <t>4163*</t>
  </si>
  <si>
    <r>
      <rPr>
        <b/>
        <sz val="10"/>
        <color theme="1"/>
        <rFont val="Arial"/>
        <family val="2"/>
      </rPr>
      <t>Biais</t>
    </r>
    <r>
      <rPr>
        <sz val="10"/>
        <color theme="1"/>
        <rFont val="Arial"/>
        <family val="2"/>
      </rPr>
      <t xml:space="preserve"> : erreurs de codage selon les établissements : les erreurs identifiables sont corrigées à partir de la base ATIH
* En 2017, les données du PMSI sont incomplètes pour la Guadeloupe. En effet, le CHU de Pointe à Pitre et la clinique des eaux claires n’ont renseigné que très partiellement le PMSI en 2017. Le nombre de naissance dans ces deux établissements a pu être estimé à partir des registres de maternité. Ces deux établissements représentent la moitié des naissances de Guadeloupe en 2017. Les indicateurs sont estimés à partir des données incomplètes pour la Guadeloupe, et en pondérant sur le poids estimé de la Guadeloupe pour la France entière. </t>
    </r>
  </si>
  <si>
    <t>La Réunion</t>
  </si>
  <si>
    <t>Ces données peuvent être complétées et enrichies avec les indicateurs calculés à partir de l'activité des établissements par l'ATIH et la FFRSP :
ils sont disponibles sur la plateforme sécurisée d'accès aux données de l'ATIH (https://acces-securise.atih.sante.fr) et sur le site de scan-sante (https://www.scansante.fr/applications/indicateurs-de-sante-perinatale )</t>
  </si>
  <si>
    <r>
      <t>*En 2017, les données du PMSI sont incomplètes pour la Guadeloupe. En effet, le CHU de Pointe à Pitre et la clinique des eaux claires n’ont renseigné que très partiellement le PMSI en 2017. Le nombre de naissance dans ces deux établissements a pu être estimé à partir des registres de maternité. Les autres indicateurs sont estimés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dans ces deux établissements en appliquant l’évolution 2015-2016 aux chiffres de 2016 pour avoir les chiffres de 2017. Ces deux établissements représentent la moitié des naissances de Guadeloupe en 2017.</t>
    </r>
  </si>
  <si>
    <t>2,9**</t>
  </si>
  <si>
    <t>2,4**</t>
  </si>
  <si>
    <t>**En 2019 les données du PMSI sont manifestement sous-estimées pour la Guadeloupe et la Guyane. En effet le nombre d'IMG y est exceptionnellement bas mais les bases de données sont figées.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</si>
</sst>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1" fillId="4" borderId="25" applyNumberFormat="0" applyFont="0" applyAlignment="0" applyProtection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13" xfId="0" applyFont="1" applyBorder="1"/>
    <xf numFmtId="164" fontId="4" fillId="0" borderId="14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5" fillId="0" borderId="13" xfId="0" applyFont="1" applyBorder="1"/>
    <xf numFmtId="164" fontId="5" fillId="0" borderId="13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/>
    <xf numFmtId="0" fontId="5" fillId="0" borderId="17" xfId="0" applyFont="1" applyBorder="1"/>
    <xf numFmtId="164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2"/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164" fontId="4" fillId="0" borderId="14" xfId="0" applyNumberFormat="1" applyFont="1" applyFill="1" applyBorder="1" applyAlignment="1">
      <alignment horizontal="center"/>
    </xf>
    <xf numFmtId="164" fontId="4" fillId="0" borderId="15" xfId="0" applyNumberFormat="1" applyFont="1" applyFill="1" applyBorder="1" applyAlignment="1">
      <alignment horizontal="center"/>
    </xf>
    <xf numFmtId="164" fontId="4" fillId="0" borderId="13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5" fillId="0" borderId="17" xfId="0" applyNumberFormat="1" applyFont="1" applyFill="1" applyBorder="1" applyAlignment="1">
      <alignment horizontal="center"/>
    </xf>
    <xf numFmtId="164" fontId="5" fillId="0" borderId="18" xfId="0" applyNumberFormat="1" applyFont="1" applyFill="1" applyBorder="1" applyAlignment="1">
      <alignment horizontal="center"/>
    </xf>
    <xf numFmtId="3" fontId="4" fillId="0" borderId="10" xfId="0" applyNumberFormat="1" applyFont="1" applyFill="1" applyBorder="1" applyAlignment="1">
      <alignment horizontal="right"/>
    </xf>
    <xf numFmtId="3" fontId="4" fillId="0" borderId="16" xfId="0" applyNumberFormat="1" applyFont="1" applyFill="1" applyBorder="1" applyAlignment="1">
      <alignment horizontal="right"/>
    </xf>
    <xf numFmtId="3" fontId="4" fillId="0" borderId="16" xfId="0" applyNumberFormat="1" applyFont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3" fontId="5" fillId="0" borderId="19" xfId="0" applyNumberFormat="1" applyFont="1" applyBorder="1" applyAlignment="1">
      <alignment horizontal="right"/>
    </xf>
    <xf numFmtId="164" fontId="4" fillId="3" borderId="13" xfId="0" applyNumberFormat="1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center"/>
    </xf>
    <xf numFmtId="3" fontId="4" fillId="3" borderId="16" xfId="0" applyNumberFormat="1" applyFont="1" applyFill="1" applyBorder="1" applyAlignment="1">
      <alignment horizontal="right"/>
    </xf>
    <xf numFmtId="0" fontId="4" fillId="2" borderId="2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3" fontId="4" fillId="0" borderId="15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4" fillId="3" borderId="0" xfId="0" applyNumberFormat="1" applyFont="1" applyFill="1" applyBorder="1" applyAlignment="1">
      <alignment horizontal="right"/>
    </xf>
    <xf numFmtId="3" fontId="5" fillId="0" borderId="18" xfId="0" applyNumberFormat="1" applyFont="1" applyBorder="1" applyAlignment="1">
      <alignment horizontal="right"/>
    </xf>
    <xf numFmtId="3" fontId="4" fillId="0" borderId="0" xfId="0" applyNumberFormat="1" applyFont="1"/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9" fillId="0" borderId="0" xfId="0" applyFont="1" applyAlignment="1">
      <alignment horizontal="left" wrapText="1"/>
    </xf>
    <xf numFmtId="0" fontId="4" fillId="2" borderId="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4">
    <cellStyle name="Commentaire" xfId="3" xr:uid="{00000000-0005-0000-0000-000000000000}"/>
    <cellStyle name="Lien hypertexte" xfId="2" builtinId="8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FFB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6"/>
  <sheetViews>
    <sheetView showGridLines="0" workbookViewId="0">
      <selection activeCell="A3" sqref="A3:K3"/>
    </sheetView>
  </sheetViews>
  <sheetFormatPr baseColWidth="10" defaultRowHeight="15" x14ac:dyDescent="0.25"/>
  <cols>
    <col min="2" max="2" width="11.5703125" customWidth="1"/>
    <col min="5" max="5" width="16" customWidth="1"/>
    <col min="11" max="11" width="43.28515625" customWidth="1"/>
  </cols>
  <sheetData>
    <row r="2" spans="1:12" ht="84" customHeight="1" x14ac:dyDescent="0.25">
      <c r="A2" s="57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2" ht="113.45" customHeight="1" x14ac:dyDescent="0.25">
      <c r="A3" s="57" t="s">
        <v>55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2" ht="39.6" customHeight="1" x14ac:dyDescent="0.25">
      <c r="A4" s="57" t="s">
        <v>56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2" ht="105.6" customHeight="1" thickBot="1" x14ac:dyDescent="0.3">
      <c r="A5" s="57" t="s">
        <v>57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2" ht="48" customHeight="1" thickBot="1" x14ac:dyDescent="0.3">
      <c r="B6" s="24" t="s">
        <v>30</v>
      </c>
      <c r="C6" s="25" t="s">
        <v>31</v>
      </c>
      <c r="D6" s="25" t="s">
        <v>32</v>
      </c>
      <c r="E6" s="25" t="s">
        <v>33</v>
      </c>
      <c r="F6" s="22"/>
      <c r="G6" s="22"/>
      <c r="H6" s="22"/>
      <c r="I6" s="22"/>
      <c r="J6" s="22"/>
      <c r="K6" s="22"/>
      <c r="L6" s="22"/>
    </row>
    <row r="7" spans="1:12" ht="22.9" customHeight="1" thickBot="1" x14ac:dyDescent="0.3">
      <c r="B7" s="26" t="s">
        <v>34</v>
      </c>
      <c r="C7" s="28">
        <v>1</v>
      </c>
      <c r="D7" s="28">
        <v>1</v>
      </c>
      <c r="E7" s="28" t="s">
        <v>43</v>
      </c>
      <c r="F7" s="22"/>
      <c r="G7" s="22"/>
      <c r="H7" s="22"/>
      <c r="I7" s="22"/>
      <c r="J7" s="22"/>
      <c r="K7" s="22"/>
      <c r="L7" s="22"/>
    </row>
    <row r="8" spans="1:12" ht="22.9" customHeight="1" thickBot="1" x14ac:dyDescent="0.3">
      <c r="B8" s="26" t="s">
        <v>35</v>
      </c>
      <c r="C8" s="28">
        <v>1</v>
      </c>
      <c r="D8" s="28">
        <v>0</v>
      </c>
      <c r="E8" s="28" t="s">
        <v>36</v>
      </c>
      <c r="F8" s="22"/>
      <c r="G8" s="22"/>
      <c r="H8" s="22"/>
      <c r="I8" s="22"/>
      <c r="J8" s="22"/>
      <c r="K8" s="22"/>
      <c r="L8" s="22"/>
    </row>
    <row r="9" spans="1:12" ht="22.9" customHeight="1" thickBot="1" x14ac:dyDescent="0.3">
      <c r="B9" s="26" t="s">
        <v>37</v>
      </c>
      <c r="C9" s="28">
        <v>1</v>
      </c>
      <c r="D9" s="28">
        <v>0</v>
      </c>
      <c r="E9" s="28" t="s">
        <v>38</v>
      </c>
      <c r="F9" s="22"/>
      <c r="G9" s="22"/>
      <c r="H9" s="22"/>
      <c r="I9" s="22"/>
      <c r="J9" s="22"/>
      <c r="K9" s="22"/>
      <c r="L9" s="22"/>
    </row>
    <row r="10" spans="1:12" ht="22.9" customHeight="1" thickBot="1" x14ac:dyDescent="0.3">
      <c r="B10" s="26" t="s">
        <v>39</v>
      </c>
      <c r="C10" s="28">
        <v>2</v>
      </c>
      <c r="D10" s="28">
        <v>2</v>
      </c>
      <c r="E10" s="28" t="s">
        <v>43</v>
      </c>
      <c r="F10" s="22"/>
      <c r="G10" s="22"/>
      <c r="H10" s="22"/>
      <c r="I10" s="22"/>
      <c r="J10" s="22"/>
      <c r="K10" s="22"/>
      <c r="L10" s="22"/>
    </row>
    <row r="11" spans="1:12" ht="22.9" customHeight="1" thickBot="1" x14ac:dyDescent="0.3">
      <c r="B11" s="26" t="s">
        <v>40</v>
      </c>
      <c r="C11" s="28">
        <v>2</v>
      </c>
      <c r="D11" s="28">
        <v>1</v>
      </c>
      <c r="E11" s="27" t="s">
        <v>36</v>
      </c>
      <c r="F11" s="22"/>
      <c r="G11" s="22"/>
      <c r="H11" s="22"/>
      <c r="I11" s="22"/>
      <c r="J11" s="22"/>
      <c r="K11" s="22"/>
      <c r="L11" s="22"/>
    </row>
    <row r="12" spans="1:12" ht="22.9" customHeight="1" thickBot="1" x14ac:dyDescent="0.3">
      <c r="B12" s="26" t="s">
        <v>42</v>
      </c>
      <c r="C12" s="28">
        <v>2</v>
      </c>
      <c r="D12" s="28">
        <v>1</v>
      </c>
      <c r="E12" s="27" t="s">
        <v>38</v>
      </c>
      <c r="F12" s="22"/>
      <c r="G12" s="22"/>
      <c r="H12" s="22"/>
      <c r="I12" s="22"/>
      <c r="J12" s="22"/>
      <c r="K12" s="22"/>
      <c r="L12" s="22"/>
    </row>
    <row r="13" spans="1:12" ht="22.9" customHeight="1" thickBot="1" x14ac:dyDescent="0.3">
      <c r="B13" s="26" t="s">
        <v>45</v>
      </c>
      <c r="C13" s="28">
        <v>2</v>
      </c>
      <c r="D13" s="28">
        <v>0</v>
      </c>
      <c r="E13" s="27" t="s">
        <v>51</v>
      </c>
      <c r="F13" s="23"/>
      <c r="G13" s="23"/>
      <c r="H13" s="23"/>
      <c r="I13" s="23"/>
      <c r="J13" s="23"/>
      <c r="K13" s="23"/>
      <c r="L13" s="23"/>
    </row>
    <row r="14" spans="1:12" ht="22.9" customHeight="1" thickBot="1" x14ac:dyDescent="0.3">
      <c r="B14" s="26" t="s">
        <v>44</v>
      </c>
      <c r="C14" s="28">
        <v>2</v>
      </c>
      <c r="D14" s="28">
        <v>0</v>
      </c>
      <c r="E14" s="27" t="s">
        <v>52</v>
      </c>
      <c r="F14" s="23"/>
      <c r="G14" s="23"/>
      <c r="H14" s="23"/>
      <c r="I14" s="23"/>
      <c r="J14" s="23"/>
      <c r="K14" s="23"/>
      <c r="L14" s="23"/>
    </row>
    <row r="15" spans="1:12" ht="22.9" customHeight="1" thickBot="1" x14ac:dyDescent="0.3">
      <c r="B15" s="26" t="s">
        <v>46</v>
      </c>
      <c r="C15" s="28">
        <v>3</v>
      </c>
      <c r="D15" s="28">
        <v>3</v>
      </c>
      <c r="E15" s="27" t="s">
        <v>43</v>
      </c>
      <c r="F15" s="23"/>
      <c r="G15" s="23"/>
      <c r="H15" s="23"/>
      <c r="I15" s="23"/>
      <c r="J15" s="23"/>
      <c r="K15" s="23"/>
      <c r="L15" s="23"/>
    </row>
    <row r="16" spans="1:12" ht="22.9" customHeight="1" thickBot="1" x14ac:dyDescent="0.3">
      <c r="B16" s="26" t="s">
        <v>47</v>
      </c>
      <c r="C16" s="28">
        <v>3</v>
      </c>
      <c r="D16" s="28">
        <v>2</v>
      </c>
      <c r="E16" s="27" t="s">
        <v>36</v>
      </c>
      <c r="F16" s="23"/>
      <c r="G16" s="23"/>
      <c r="H16" s="23"/>
      <c r="I16" s="23"/>
      <c r="J16" s="23"/>
      <c r="K16" s="23"/>
      <c r="L16" s="23"/>
    </row>
    <row r="17" spans="1:12" ht="22.9" customHeight="1" thickBot="1" x14ac:dyDescent="0.3">
      <c r="B17" s="26" t="s">
        <v>50</v>
      </c>
      <c r="C17" s="28">
        <v>3</v>
      </c>
      <c r="D17" s="28">
        <v>2</v>
      </c>
      <c r="E17" s="27" t="s">
        <v>38</v>
      </c>
      <c r="F17" s="23"/>
      <c r="G17" s="23"/>
      <c r="H17" s="23"/>
      <c r="I17" s="23"/>
      <c r="J17" s="23"/>
      <c r="K17" s="23"/>
      <c r="L17" s="23"/>
    </row>
    <row r="18" spans="1:12" ht="22.9" customHeight="1" thickBot="1" x14ac:dyDescent="0.3">
      <c r="B18" s="26" t="s">
        <v>48</v>
      </c>
      <c r="C18" s="28">
        <v>3</v>
      </c>
      <c r="D18" s="28">
        <v>0</v>
      </c>
      <c r="E18" s="27" t="s">
        <v>53</v>
      </c>
      <c r="F18" s="23"/>
      <c r="G18" s="23"/>
      <c r="H18" s="23"/>
      <c r="I18" s="23"/>
      <c r="J18" s="23"/>
      <c r="K18" s="23"/>
      <c r="L18" s="23"/>
    </row>
    <row r="19" spans="1:12" ht="22.9" customHeight="1" thickBot="1" x14ac:dyDescent="0.3">
      <c r="A19" s="22"/>
      <c r="B19" s="26" t="s">
        <v>49</v>
      </c>
      <c r="C19" s="28">
        <v>3</v>
      </c>
      <c r="D19" s="28">
        <v>0</v>
      </c>
      <c r="E19" s="27" t="s">
        <v>54</v>
      </c>
      <c r="F19" s="22"/>
      <c r="G19" s="22"/>
      <c r="H19" s="22"/>
      <c r="I19" s="22"/>
      <c r="J19" s="22"/>
      <c r="K19" s="22"/>
    </row>
    <row r="20" spans="1:12" ht="27" hidden="1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1:12" ht="57.6" customHeight="1" x14ac:dyDescent="0.25">
      <c r="A21" s="57" t="s">
        <v>41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</row>
    <row r="22" spans="1:12" ht="70.5" customHeight="1" x14ac:dyDescent="0.25">
      <c r="A22" s="57" t="s">
        <v>59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</row>
    <row r="23" spans="1:12" s="29" customFormat="1" ht="59.25" customHeight="1" x14ac:dyDescent="0.25">
      <c r="A23" s="56" t="s">
        <v>61</v>
      </c>
      <c r="B23" s="56"/>
      <c r="C23" s="56"/>
      <c r="D23" s="56"/>
      <c r="E23" s="56"/>
      <c r="F23" s="56"/>
      <c r="G23" s="56"/>
      <c r="H23" s="56"/>
      <c r="I23" s="56"/>
      <c r="J23" s="56"/>
    </row>
    <row r="24" spans="1:12" ht="12" customHeight="1" x14ac:dyDescent="0.25">
      <c r="A24" s="30"/>
    </row>
    <row r="26" spans="1:12" x14ac:dyDescent="0.25">
      <c r="G26" s="30"/>
    </row>
  </sheetData>
  <mergeCells count="7">
    <mergeCell ref="A23:J23"/>
    <mergeCell ref="A22:K22"/>
    <mergeCell ref="A2:K2"/>
    <mergeCell ref="A3:K3"/>
    <mergeCell ref="A4:K4"/>
    <mergeCell ref="A5:K5"/>
    <mergeCell ref="A21:K21"/>
  </mergeCells>
  <pageMargins left="0.7" right="0.7" top="0.75" bottom="0.75" header="0.3" footer="0.3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93"/>
  <sheetViews>
    <sheetView showGridLines="0" tabSelected="1" zoomScale="110" zoomScaleNormal="110" workbookViewId="0">
      <pane xSplit="2" topLeftCell="AU1" activePane="topRight" state="frozen"/>
      <selection pane="topRight" activeCell="BA19" sqref="BA19"/>
    </sheetView>
  </sheetViews>
  <sheetFormatPr baseColWidth="10" defaultColWidth="11.5703125" defaultRowHeight="12" x14ac:dyDescent="0.2"/>
  <cols>
    <col min="1" max="1" width="11.5703125" style="2"/>
    <col min="2" max="2" width="31.85546875" style="2" customWidth="1"/>
    <col min="3" max="17" width="11.7109375" style="2" customWidth="1"/>
    <col min="18" max="34" width="11.5703125" style="2"/>
    <col min="35" max="35" width="11.5703125" style="31"/>
    <col min="36" max="50" width="11.5703125" style="2"/>
    <col min="51" max="51" width="3.140625" style="2" customWidth="1"/>
    <col min="52" max="16384" width="11.5703125" style="2"/>
  </cols>
  <sheetData>
    <row r="1" spans="1:50" ht="12.75" x14ac:dyDescent="0.2">
      <c r="A1" s="1" t="s">
        <v>29</v>
      </c>
    </row>
    <row r="2" spans="1:50" x14ac:dyDescent="0.2">
      <c r="A2" s="2" t="s">
        <v>11</v>
      </c>
    </row>
    <row r="3" spans="1:50" x14ac:dyDescent="0.2">
      <c r="A3" s="2" t="s">
        <v>12</v>
      </c>
    </row>
    <row r="5" spans="1:50" ht="12.75" thickBot="1" x14ac:dyDescent="0.25"/>
    <row r="6" spans="1:50" x14ac:dyDescent="0.2">
      <c r="C6" s="64">
        <v>2012</v>
      </c>
      <c r="D6" s="65"/>
      <c r="E6" s="65"/>
      <c r="F6" s="66"/>
      <c r="G6" s="64">
        <v>2013</v>
      </c>
      <c r="H6" s="65"/>
      <c r="I6" s="65"/>
      <c r="J6" s="66"/>
      <c r="K6" s="64">
        <v>2014</v>
      </c>
      <c r="L6" s="65"/>
      <c r="M6" s="65"/>
      <c r="N6" s="66"/>
      <c r="O6" s="59">
        <v>2015</v>
      </c>
      <c r="P6" s="60"/>
      <c r="Q6" s="60"/>
      <c r="R6" s="63"/>
      <c r="S6" s="59">
        <v>2016</v>
      </c>
      <c r="T6" s="60"/>
      <c r="U6" s="60"/>
      <c r="V6" s="63"/>
      <c r="W6" s="59">
        <v>2017</v>
      </c>
      <c r="X6" s="60"/>
      <c r="Y6" s="60"/>
      <c r="Z6" s="63"/>
      <c r="AA6" s="59">
        <v>2018</v>
      </c>
      <c r="AB6" s="60"/>
      <c r="AC6" s="60"/>
      <c r="AD6" s="63"/>
      <c r="AE6" s="59">
        <v>2019</v>
      </c>
      <c r="AF6" s="60"/>
      <c r="AG6" s="60"/>
      <c r="AH6" s="63"/>
      <c r="AI6" s="59">
        <v>2020</v>
      </c>
      <c r="AJ6" s="60"/>
      <c r="AK6" s="60"/>
      <c r="AL6" s="61"/>
      <c r="AM6" s="58">
        <v>2021</v>
      </c>
      <c r="AN6" s="58"/>
      <c r="AO6" s="58"/>
      <c r="AP6" s="58"/>
      <c r="AQ6" s="58">
        <v>2022</v>
      </c>
      <c r="AR6" s="58"/>
      <c r="AS6" s="58"/>
      <c r="AT6" s="58"/>
      <c r="AU6" s="58">
        <v>2023</v>
      </c>
      <c r="AV6" s="58"/>
      <c r="AW6" s="58"/>
      <c r="AX6" s="58"/>
    </row>
    <row r="7" spans="1:50" ht="24" x14ac:dyDescent="0.2">
      <c r="B7" s="3" t="s">
        <v>16</v>
      </c>
      <c r="C7" s="4" t="s">
        <v>1</v>
      </c>
      <c r="D7" s="5" t="s">
        <v>2</v>
      </c>
      <c r="E7" s="5" t="s">
        <v>0</v>
      </c>
      <c r="F7" s="6" t="s">
        <v>13</v>
      </c>
      <c r="G7" s="7" t="s">
        <v>1</v>
      </c>
      <c r="H7" s="8" t="s">
        <v>2</v>
      </c>
      <c r="I7" s="8" t="s">
        <v>0</v>
      </c>
      <c r="J7" s="9" t="s">
        <v>14</v>
      </c>
      <c r="K7" s="7" t="s">
        <v>1</v>
      </c>
      <c r="L7" s="8" t="s">
        <v>2</v>
      </c>
      <c r="M7" s="8" t="s">
        <v>0</v>
      </c>
      <c r="N7" s="9" t="s">
        <v>13</v>
      </c>
      <c r="O7" s="7" t="s">
        <v>1</v>
      </c>
      <c r="P7" s="8" t="s">
        <v>2</v>
      </c>
      <c r="Q7" s="8" t="s">
        <v>0</v>
      </c>
      <c r="R7" s="9" t="s">
        <v>13</v>
      </c>
      <c r="S7" s="7" t="s">
        <v>1</v>
      </c>
      <c r="T7" s="8" t="s">
        <v>2</v>
      </c>
      <c r="U7" s="8" t="s">
        <v>0</v>
      </c>
      <c r="V7" s="9" t="s">
        <v>13</v>
      </c>
      <c r="W7" s="7" t="s">
        <v>1</v>
      </c>
      <c r="X7" s="8" t="s">
        <v>2</v>
      </c>
      <c r="Y7" s="8" t="s">
        <v>0</v>
      </c>
      <c r="Z7" s="9" t="s">
        <v>13</v>
      </c>
      <c r="AA7" s="7" t="s">
        <v>1</v>
      </c>
      <c r="AB7" s="8" t="s">
        <v>2</v>
      </c>
      <c r="AC7" s="8" t="s">
        <v>0</v>
      </c>
      <c r="AD7" s="9" t="s">
        <v>13</v>
      </c>
      <c r="AE7" s="7" t="s">
        <v>1</v>
      </c>
      <c r="AF7" s="8" t="s">
        <v>2</v>
      </c>
      <c r="AG7" s="8" t="s">
        <v>0</v>
      </c>
      <c r="AH7" s="47" t="s">
        <v>13</v>
      </c>
      <c r="AI7" s="7" t="s">
        <v>1</v>
      </c>
      <c r="AJ7" s="8" t="s">
        <v>2</v>
      </c>
      <c r="AK7" s="8" t="s">
        <v>0</v>
      </c>
      <c r="AL7" s="47" t="s">
        <v>13</v>
      </c>
      <c r="AM7" s="8" t="s">
        <v>1</v>
      </c>
      <c r="AN7" s="8" t="s">
        <v>2</v>
      </c>
      <c r="AO7" s="8" t="s">
        <v>0</v>
      </c>
      <c r="AP7" s="8" t="s">
        <v>13</v>
      </c>
      <c r="AQ7" s="8" t="s">
        <v>1</v>
      </c>
      <c r="AR7" s="8" t="s">
        <v>2</v>
      </c>
      <c r="AS7" s="8" t="s">
        <v>0</v>
      </c>
      <c r="AT7" s="8" t="s">
        <v>13</v>
      </c>
      <c r="AU7" s="8" t="s">
        <v>1</v>
      </c>
      <c r="AV7" s="8" t="s">
        <v>2</v>
      </c>
      <c r="AW7" s="8" t="s">
        <v>0</v>
      </c>
      <c r="AX7" s="8" t="s">
        <v>13</v>
      </c>
    </row>
    <row r="8" spans="1:50" x14ac:dyDescent="0.2">
      <c r="B8" s="10" t="s">
        <v>24</v>
      </c>
      <c r="C8" s="11">
        <v>8.4189292110084182</v>
      </c>
      <c r="D8" s="12">
        <v>5.0431238550050432</v>
      </c>
      <c r="E8" s="12">
        <v>3.3758053560033758</v>
      </c>
      <c r="F8" s="39">
        <v>97162</v>
      </c>
      <c r="G8" s="11">
        <v>8.147808124856553</v>
      </c>
      <c r="H8" s="12">
        <v>4.7676674943142698</v>
      </c>
      <c r="I8" s="12">
        <v>3.3801406305422832</v>
      </c>
      <c r="J8" s="39">
        <v>95854</v>
      </c>
      <c r="K8" s="11">
        <v>7.82971153149985</v>
      </c>
      <c r="L8" s="12">
        <v>4.5509551834345228</v>
      </c>
      <c r="M8" s="12">
        <v>3.2787563480653268</v>
      </c>
      <c r="N8" s="39">
        <v>96683</v>
      </c>
      <c r="O8" s="33">
        <v>7.7389888567018374</v>
      </c>
      <c r="P8" s="34">
        <v>4.5884168904489036</v>
      </c>
      <c r="Q8" s="34">
        <v>3.1505719662529339</v>
      </c>
      <c r="R8" s="39">
        <v>94586</v>
      </c>
      <c r="S8" s="33">
        <v>7.7952449006106272</v>
      </c>
      <c r="T8" s="34">
        <v>4.623013295223247</v>
      </c>
      <c r="U8" s="34">
        <v>3.1722316053873802</v>
      </c>
      <c r="V8" s="39">
        <v>92364</v>
      </c>
      <c r="W8" s="33">
        <v>8.1729182708172914</v>
      </c>
      <c r="X8" s="34">
        <v>4.6639533604663956</v>
      </c>
      <c r="Y8" s="34">
        <v>3.5089649103508966</v>
      </c>
      <c r="Z8" s="39">
        <v>90910</v>
      </c>
      <c r="AA8" s="33">
        <v>8.1373523241691501</v>
      </c>
      <c r="AB8" s="34">
        <v>4.7587501380147952</v>
      </c>
      <c r="AC8" s="34">
        <v>3.3786021861543558</v>
      </c>
      <c r="AD8" s="39">
        <v>90570</v>
      </c>
      <c r="AE8" s="33">
        <v>7.4012604570839038</v>
      </c>
      <c r="AF8" s="34">
        <v>4.2949738713077803</v>
      </c>
      <c r="AG8" s="34">
        <v>3.106286585776123</v>
      </c>
      <c r="AH8" s="39">
        <v>89174</v>
      </c>
      <c r="AI8" s="33">
        <v>7.7905744529712484</v>
      </c>
      <c r="AJ8" s="34">
        <v>4.401849242485997</v>
      </c>
      <c r="AK8" s="34">
        <v>3.3887252104852514</v>
      </c>
      <c r="AL8" s="49">
        <v>85873</v>
      </c>
      <c r="AM8" s="33">
        <v>7.8902939048340972</v>
      </c>
      <c r="AN8" s="34">
        <v>4.5710872985792879</v>
      </c>
      <c r="AO8" s="34">
        <v>3.3192066062548093</v>
      </c>
      <c r="AP8" s="39">
        <v>87069</v>
      </c>
      <c r="AQ8" s="33">
        <v>7.7523946416579284</v>
      </c>
      <c r="AR8" s="34">
        <v>4.736265419371561</v>
      </c>
      <c r="AS8" s="34">
        <v>3.0161292222863674</v>
      </c>
      <c r="AT8" s="39">
        <v>84877</v>
      </c>
      <c r="AU8" s="33">
        <v>7.5244544770504138</v>
      </c>
      <c r="AV8" s="34">
        <v>4.5146726862302486</v>
      </c>
      <c r="AW8" s="34">
        <v>3.0097817908201656</v>
      </c>
      <c r="AX8" s="39">
        <v>78411</v>
      </c>
    </row>
    <row r="9" spans="1:50" x14ac:dyDescent="0.2">
      <c r="B9" s="10" t="s">
        <v>19</v>
      </c>
      <c r="C9" s="13">
        <v>9.0888867702672638</v>
      </c>
      <c r="D9" s="14">
        <v>6.0698509549686976</v>
      </c>
      <c r="E9" s="14">
        <v>3.0190358152985666</v>
      </c>
      <c r="F9" s="40">
        <v>31467</v>
      </c>
      <c r="G9" s="13">
        <v>8.0440304826418281</v>
      </c>
      <c r="H9" s="14">
        <v>4.4942356542695236</v>
      </c>
      <c r="I9" s="14">
        <v>3.5497948283723049</v>
      </c>
      <c r="J9" s="40">
        <v>30706</v>
      </c>
      <c r="K9" s="13">
        <v>8.1453016717574798</v>
      </c>
      <c r="L9" s="14">
        <v>4.8937497947252604</v>
      </c>
      <c r="M9" s="14">
        <v>3.2515518770322198</v>
      </c>
      <c r="N9" s="40">
        <v>30447</v>
      </c>
      <c r="O9" s="35">
        <v>8.0251930109711491</v>
      </c>
      <c r="P9" s="36">
        <v>4.6390356223757276</v>
      </c>
      <c r="Q9" s="36">
        <v>3.3861573885954219</v>
      </c>
      <c r="R9" s="40">
        <v>29532</v>
      </c>
      <c r="S9" s="35">
        <v>8.7206248029979339</v>
      </c>
      <c r="T9" s="36">
        <v>5.1833432564003781</v>
      </c>
      <c r="U9" s="36">
        <v>3.5372815465975553</v>
      </c>
      <c r="V9" s="40">
        <v>28553</v>
      </c>
      <c r="W9" s="35">
        <v>7.8991231248641203</v>
      </c>
      <c r="X9" s="36">
        <v>4.8916588158562213</v>
      </c>
      <c r="Y9" s="36">
        <v>3.007464309007899</v>
      </c>
      <c r="Z9" s="40">
        <v>27598</v>
      </c>
      <c r="AA9" s="35">
        <v>7.4518963407852299</v>
      </c>
      <c r="AB9" s="36">
        <v>4.4118192266340417</v>
      </c>
      <c r="AC9" s="36">
        <v>3.0400771141511882</v>
      </c>
      <c r="AD9" s="40">
        <v>26973</v>
      </c>
      <c r="AE9" s="35">
        <v>8.2877128953771297</v>
      </c>
      <c r="AF9" s="36">
        <v>5.4744525547445253</v>
      </c>
      <c r="AG9" s="36">
        <v>2.8132603406326036</v>
      </c>
      <c r="AH9" s="40">
        <v>26304</v>
      </c>
      <c r="AI9" s="35">
        <v>7.9588014981273405</v>
      </c>
      <c r="AJ9" s="36">
        <v>4.8377028714107366</v>
      </c>
      <c r="AK9" s="36">
        <v>3.1210986267166043</v>
      </c>
      <c r="AL9" s="50">
        <v>25632</v>
      </c>
      <c r="AM9" s="35">
        <v>9.5469129039830971</v>
      </c>
      <c r="AN9" s="36">
        <v>6.260270756710228</v>
      </c>
      <c r="AO9" s="36">
        <v>3.2866421472728695</v>
      </c>
      <c r="AP9" s="40">
        <v>25558</v>
      </c>
      <c r="AQ9" s="35">
        <v>8.8474318427479091</v>
      </c>
      <c r="AR9" s="36">
        <v>5.9650106089114852</v>
      </c>
      <c r="AS9" s="36">
        <v>2.8824212338364226</v>
      </c>
      <c r="AT9" s="40">
        <v>24979</v>
      </c>
      <c r="AU9" s="35">
        <v>8.0520815487407909</v>
      </c>
      <c r="AV9" s="36">
        <v>4.9254754154531435</v>
      </c>
      <c r="AW9" s="36">
        <v>3.1266061332876478</v>
      </c>
      <c r="AX9" s="40">
        <v>23348</v>
      </c>
    </row>
    <row r="10" spans="1:50" x14ac:dyDescent="0.2">
      <c r="B10" s="10" t="s">
        <v>10</v>
      </c>
      <c r="C10" s="13">
        <v>7.7027762656505168</v>
      </c>
      <c r="D10" s="14">
        <v>3.864997278170931</v>
      </c>
      <c r="E10" s="14">
        <v>3.8377789874795862</v>
      </c>
      <c r="F10" s="40">
        <v>36740</v>
      </c>
      <c r="G10" s="13">
        <v>8.4214048687989731</v>
      </c>
      <c r="H10" s="14">
        <v>4.4059005604974768</v>
      </c>
      <c r="I10" s="14">
        <v>4.0155043083014972</v>
      </c>
      <c r="J10" s="40">
        <v>35861</v>
      </c>
      <c r="K10" s="13">
        <v>7.9430370769623559</v>
      </c>
      <c r="L10" s="14">
        <v>3.971518538481178</v>
      </c>
      <c r="M10" s="14">
        <v>3.971518538481178</v>
      </c>
      <c r="N10" s="40">
        <v>35251</v>
      </c>
      <c r="O10" s="35">
        <v>7.9200284765068822</v>
      </c>
      <c r="P10" s="36">
        <v>4.0638348362600851</v>
      </c>
      <c r="Q10" s="36">
        <v>3.8561936402467962</v>
      </c>
      <c r="R10" s="40">
        <v>33712</v>
      </c>
      <c r="S10" s="35">
        <v>7.6993028190360713</v>
      </c>
      <c r="T10" s="36">
        <v>3.7890269778720826</v>
      </c>
      <c r="U10" s="36">
        <v>3.9102758411639891</v>
      </c>
      <c r="V10" s="40">
        <v>32990</v>
      </c>
      <c r="W10" s="35">
        <v>8.4478277014481993</v>
      </c>
      <c r="X10" s="36">
        <v>4.4869414531501421</v>
      </c>
      <c r="Y10" s="36">
        <v>3.9608862482980567</v>
      </c>
      <c r="Z10" s="40">
        <v>32316</v>
      </c>
      <c r="AA10" s="35">
        <v>7.8235017994054141</v>
      </c>
      <c r="AB10" s="36">
        <v>3.8804568925050851</v>
      </c>
      <c r="AC10" s="36">
        <v>3.9430449069003286</v>
      </c>
      <c r="AD10" s="40">
        <v>31955</v>
      </c>
      <c r="AE10" s="35">
        <v>7.6781521670156732</v>
      </c>
      <c r="AF10" s="36">
        <v>3.6169807728916807</v>
      </c>
      <c r="AG10" s="36">
        <v>4.0611713941239929</v>
      </c>
      <c r="AH10" s="40">
        <v>31518</v>
      </c>
      <c r="AI10" s="35">
        <v>7.9700558226581908</v>
      </c>
      <c r="AJ10" s="36">
        <v>4.0979639250104869</v>
      </c>
      <c r="AK10" s="36">
        <v>3.8720918976477043</v>
      </c>
      <c r="AL10" s="50">
        <v>30991</v>
      </c>
      <c r="AM10" s="35">
        <v>8.1650461231613072</v>
      </c>
      <c r="AN10" s="36">
        <v>4.300673148840688</v>
      </c>
      <c r="AO10" s="36">
        <v>3.8643729743206183</v>
      </c>
      <c r="AP10" s="40">
        <v>32088</v>
      </c>
      <c r="AQ10" s="35">
        <v>8.6369597901538651</v>
      </c>
      <c r="AR10" s="36">
        <v>4.2864911551134002</v>
      </c>
      <c r="AS10" s="36">
        <v>4.3504686350404658</v>
      </c>
      <c r="AT10" s="40">
        <v>31261</v>
      </c>
      <c r="AU10" s="35">
        <v>8.6559269055061314</v>
      </c>
      <c r="AV10" s="36">
        <v>4.4310102016281387</v>
      </c>
      <c r="AW10" s="36">
        <v>4.2249167038779927</v>
      </c>
      <c r="AX10" s="40">
        <v>29113</v>
      </c>
    </row>
    <row r="11" spans="1:50" x14ac:dyDescent="0.2">
      <c r="B11" s="10" t="s">
        <v>18</v>
      </c>
      <c r="C11" s="13">
        <v>9.9281861203958037</v>
      </c>
      <c r="D11" s="14">
        <v>5.9569116722374824</v>
      </c>
      <c r="E11" s="14">
        <v>3.9712744481583213</v>
      </c>
      <c r="F11" s="40">
        <v>30217</v>
      </c>
      <c r="G11" s="13">
        <v>8.5658927903735673</v>
      </c>
      <c r="H11" s="14">
        <v>5.0647540704986573</v>
      </c>
      <c r="I11" s="14">
        <v>3.5011387198749109</v>
      </c>
      <c r="J11" s="40">
        <v>29419</v>
      </c>
      <c r="K11" s="13">
        <v>8.2463644140290846</v>
      </c>
      <c r="L11" s="14">
        <v>5.0299401197604787</v>
      </c>
      <c r="M11" s="14">
        <v>3.2164242942686054</v>
      </c>
      <c r="N11" s="40">
        <v>29225</v>
      </c>
      <c r="O11" s="35">
        <v>8.9429440171704524</v>
      </c>
      <c r="P11" s="36">
        <v>5.1869075299588623</v>
      </c>
      <c r="Q11" s="36">
        <v>3.7560364872115901</v>
      </c>
      <c r="R11" s="40">
        <v>27955</v>
      </c>
      <c r="S11" s="35">
        <v>7.2057646116893519</v>
      </c>
      <c r="T11" s="36">
        <v>4.4399155688186918</v>
      </c>
      <c r="U11" s="36">
        <v>2.7658490428706601</v>
      </c>
      <c r="V11" s="40">
        <v>27478</v>
      </c>
      <c r="W11" s="35">
        <v>9.2153765139547126</v>
      </c>
      <c r="X11" s="36">
        <v>5.2283156548559395</v>
      </c>
      <c r="Y11" s="36">
        <v>3.9870608590987739</v>
      </c>
      <c r="Z11" s="40">
        <v>26586</v>
      </c>
      <c r="AA11" s="35">
        <v>10.602318069542086</v>
      </c>
      <c r="AB11" s="36">
        <v>6.7642029260877825</v>
      </c>
      <c r="AC11" s="36">
        <v>3.8381151434543037</v>
      </c>
      <c r="AD11" s="40">
        <v>26315</v>
      </c>
      <c r="AE11" s="35">
        <v>8.9042410285933595</v>
      </c>
      <c r="AF11" s="36">
        <v>5.7570523891767413</v>
      </c>
      <c r="AG11" s="36">
        <v>3.1471886394166186</v>
      </c>
      <c r="AH11" s="40">
        <v>26055</v>
      </c>
      <c r="AI11" s="35">
        <v>8.7802562885619366</v>
      </c>
      <c r="AJ11" s="36">
        <v>5.2997943363391871</v>
      </c>
      <c r="AK11" s="36">
        <v>3.4804619522227496</v>
      </c>
      <c r="AL11" s="50">
        <v>25284</v>
      </c>
      <c r="AM11" s="35">
        <v>7.8179970291611287</v>
      </c>
      <c r="AN11" s="36">
        <v>4.7298882026424831</v>
      </c>
      <c r="AO11" s="36">
        <v>3.088108826518646</v>
      </c>
      <c r="AP11" s="40">
        <v>25582</v>
      </c>
      <c r="AQ11" s="35">
        <v>7.8817733990147776</v>
      </c>
      <c r="AR11" s="36">
        <v>4.4926108374384235</v>
      </c>
      <c r="AS11" s="36">
        <v>3.3891625615763545</v>
      </c>
      <c r="AT11" s="40">
        <v>25375</v>
      </c>
      <c r="AU11" s="35">
        <v>9.641575511262916</v>
      </c>
      <c r="AV11" s="36">
        <v>5.4044705780621731</v>
      </c>
      <c r="AW11" s="36">
        <v>4.2371049332007438</v>
      </c>
      <c r="AX11" s="40">
        <v>23129</v>
      </c>
    </row>
    <row r="12" spans="1:50" x14ac:dyDescent="0.2">
      <c r="B12" s="10" t="s">
        <v>5</v>
      </c>
      <c r="C12" s="13">
        <v>11.686143572621035</v>
      </c>
      <c r="D12" s="14">
        <v>9.0150250417362265</v>
      </c>
      <c r="E12" s="14">
        <v>2.671118530884808</v>
      </c>
      <c r="F12" s="41">
        <v>2995</v>
      </c>
      <c r="G12" s="13">
        <v>11.301369863013699</v>
      </c>
      <c r="H12" s="14">
        <v>7.5342465753424657</v>
      </c>
      <c r="I12" s="14">
        <v>3.7671232876712328</v>
      </c>
      <c r="J12" s="41">
        <v>2920</v>
      </c>
      <c r="K12" s="13">
        <v>13.567174056915949</v>
      </c>
      <c r="L12" s="14">
        <v>8.2726671078755789</v>
      </c>
      <c r="M12" s="14">
        <v>5.2945069490403709</v>
      </c>
      <c r="N12" s="41">
        <v>3022</v>
      </c>
      <c r="O12" s="13">
        <v>10.790114862513052</v>
      </c>
      <c r="P12" s="14">
        <v>7.3094326487991648</v>
      </c>
      <c r="Q12" s="14">
        <v>3.4806822137138878</v>
      </c>
      <c r="R12" s="41">
        <v>2873</v>
      </c>
      <c r="S12" s="13">
        <v>8.8980150581793289</v>
      </c>
      <c r="T12" s="14">
        <v>6.1601642710472282</v>
      </c>
      <c r="U12" s="14">
        <v>2.7378507871321012</v>
      </c>
      <c r="V12" s="41">
        <v>2922</v>
      </c>
      <c r="W12" s="13">
        <v>6.4868555821099347</v>
      </c>
      <c r="X12" s="14">
        <v>3.4141345168999657</v>
      </c>
      <c r="Y12" s="14">
        <v>3.0727210652099695</v>
      </c>
      <c r="Z12" s="41">
        <v>2929</v>
      </c>
      <c r="AA12" s="13">
        <v>10.820244328097731</v>
      </c>
      <c r="AB12" s="14">
        <v>8.0279232111692842</v>
      </c>
      <c r="AC12" s="14">
        <v>2.7923211169284468</v>
      </c>
      <c r="AD12" s="41">
        <v>2865</v>
      </c>
      <c r="AE12" s="13">
        <v>9.3913043478260878</v>
      </c>
      <c r="AF12" s="14">
        <v>5.9130434782608692</v>
      </c>
      <c r="AG12" s="14">
        <v>3.4782608695652173</v>
      </c>
      <c r="AH12" s="41">
        <v>2875</v>
      </c>
      <c r="AI12" s="13">
        <v>7.5131480090157776</v>
      </c>
      <c r="AJ12" s="14">
        <v>4.5078888054094666</v>
      </c>
      <c r="AK12" s="14">
        <v>3.005259203606311</v>
      </c>
      <c r="AL12" s="51">
        <v>2662</v>
      </c>
      <c r="AM12" s="13">
        <v>7.6558512577469919</v>
      </c>
      <c r="AN12" s="14">
        <v>4.3747721472839958</v>
      </c>
      <c r="AO12" s="14">
        <v>3.2810791104629966</v>
      </c>
      <c r="AP12" s="41">
        <v>2743</v>
      </c>
      <c r="AQ12" s="13">
        <v>8.7463556851311957</v>
      </c>
      <c r="AR12" s="14">
        <v>5.4664723032069968</v>
      </c>
      <c r="AS12" s="14">
        <v>3.2798833819241984</v>
      </c>
      <c r="AT12" s="41">
        <v>2744</v>
      </c>
      <c r="AU12" s="13">
        <v>10.346199761241545</v>
      </c>
      <c r="AV12" s="14">
        <v>5.5710306406685239</v>
      </c>
      <c r="AW12" s="14">
        <v>4.77516912057302</v>
      </c>
      <c r="AX12" s="41">
        <v>2513</v>
      </c>
    </row>
    <row r="13" spans="1:50" x14ac:dyDescent="0.2">
      <c r="B13" s="10" t="s">
        <v>4</v>
      </c>
      <c r="C13" s="13">
        <v>9.0234799451977139</v>
      </c>
      <c r="D13" s="14">
        <v>5.7006976268090268</v>
      </c>
      <c r="E13" s="14">
        <v>3.3227823183886867</v>
      </c>
      <c r="F13" s="41">
        <v>63501</v>
      </c>
      <c r="G13" s="13">
        <v>8.5161044769018499</v>
      </c>
      <c r="H13" s="14">
        <v>5.4553816388347052</v>
      </c>
      <c r="I13" s="14">
        <v>3.0607228380671456</v>
      </c>
      <c r="J13" s="41">
        <v>63057</v>
      </c>
      <c r="K13" s="13">
        <v>7.9165339280025488</v>
      </c>
      <c r="L13" s="14">
        <v>4.8741637464160563</v>
      </c>
      <c r="M13" s="14">
        <v>3.0423701815864925</v>
      </c>
      <c r="N13" s="41">
        <v>62780</v>
      </c>
      <c r="O13" s="13">
        <v>8.8606965998111935</v>
      </c>
      <c r="P13" s="14">
        <v>5.2004836118518032</v>
      </c>
      <c r="Q13" s="14">
        <v>3.6602129879593899</v>
      </c>
      <c r="R13" s="41">
        <v>60379</v>
      </c>
      <c r="S13" s="13">
        <v>8.9571988396356055</v>
      </c>
      <c r="T13" s="14">
        <v>5.4794985325801147</v>
      </c>
      <c r="U13" s="14">
        <v>3.4777003070554904</v>
      </c>
      <c r="V13" s="41">
        <v>58947</v>
      </c>
      <c r="W13" s="13">
        <v>8.2342820022121952</v>
      </c>
      <c r="X13" s="14">
        <v>5.1793458222869884</v>
      </c>
      <c r="Y13" s="14">
        <v>3.0549361799252068</v>
      </c>
      <c r="Z13" s="41">
        <v>56957</v>
      </c>
      <c r="AA13" s="13">
        <v>8.9706171999498654</v>
      </c>
      <c r="AB13" s="14">
        <v>5.5864921484717724</v>
      </c>
      <c r="AC13" s="14">
        <v>3.3841250514780925</v>
      </c>
      <c r="AD13" s="41">
        <v>55849</v>
      </c>
      <c r="AE13" s="13">
        <v>8.4059549745824249</v>
      </c>
      <c r="AF13" s="14">
        <v>5.1379811183732755</v>
      </c>
      <c r="AG13" s="14">
        <v>3.2679738562091503</v>
      </c>
      <c r="AH13" s="41">
        <v>55080</v>
      </c>
      <c r="AI13" s="13">
        <v>8.3008735771281632</v>
      </c>
      <c r="AJ13" s="14">
        <v>5.2754982415005864</v>
      </c>
      <c r="AK13" s="14">
        <v>3.0253753356275763</v>
      </c>
      <c r="AL13" s="51">
        <v>52886</v>
      </c>
      <c r="AM13" s="13">
        <v>8.1276339554485251</v>
      </c>
      <c r="AN13" s="14">
        <v>5.1550270921131851</v>
      </c>
      <c r="AO13" s="14">
        <v>2.97260686333534</v>
      </c>
      <c r="AP13" s="41">
        <v>53152</v>
      </c>
      <c r="AQ13" s="13">
        <v>8.7324380967166046</v>
      </c>
      <c r="AR13" s="14">
        <v>5.4917332919351081</v>
      </c>
      <c r="AS13" s="14">
        <v>3.2407048047814948</v>
      </c>
      <c r="AT13" s="41">
        <v>51532</v>
      </c>
      <c r="AU13" s="13">
        <v>8.2815734989648035</v>
      </c>
      <c r="AV13" s="14">
        <v>4.8936570675701114</v>
      </c>
      <c r="AW13" s="14">
        <v>3.3879164313946921</v>
      </c>
      <c r="AX13" s="41">
        <v>47817</v>
      </c>
    </row>
    <row r="14" spans="1:50" x14ac:dyDescent="0.2">
      <c r="B14" s="10" t="s">
        <v>20</v>
      </c>
      <c r="C14" s="13">
        <v>8.9676669222967131</v>
      </c>
      <c r="D14" s="14">
        <v>5.2569081958291068</v>
      </c>
      <c r="E14" s="14">
        <v>3.710758726467605</v>
      </c>
      <c r="F14" s="41">
        <v>80846</v>
      </c>
      <c r="G14" s="13">
        <v>9.1530616057085226</v>
      </c>
      <c r="H14" s="14">
        <v>5.5541026886340141</v>
      </c>
      <c r="I14" s="14">
        <v>3.5989589170745071</v>
      </c>
      <c r="J14" s="41">
        <v>80301</v>
      </c>
      <c r="K14" s="13">
        <v>8.5187716766664128</v>
      </c>
      <c r="L14" s="14">
        <v>4.9492417913470543</v>
      </c>
      <c r="M14" s="14">
        <v>3.5695298853193589</v>
      </c>
      <c r="N14" s="41">
        <v>79002</v>
      </c>
      <c r="O14" s="13">
        <v>8.3189864767186652</v>
      </c>
      <c r="P14" s="14">
        <v>4.9677360003154121</v>
      </c>
      <c r="Q14" s="14">
        <v>3.351250476403254</v>
      </c>
      <c r="R14" s="41">
        <v>76091</v>
      </c>
      <c r="S14" s="13">
        <v>8.9408621935096981</v>
      </c>
      <c r="T14" s="14">
        <v>5.4108571506453504</v>
      </c>
      <c r="U14" s="14">
        <v>3.5300050428643468</v>
      </c>
      <c r="V14" s="41">
        <v>73371</v>
      </c>
      <c r="W14" s="13">
        <v>8.7224793156640015</v>
      </c>
      <c r="X14" s="14">
        <v>5.398962277380452</v>
      </c>
      <c r="Y14" s="14">
        <v>3.3235170382835508</v>
      </c>
      <c r="Z14" s="41">
        <v>71310</v>
      </c>
      <c r="AA14" s="13">
        <v>8.5509995622355177</v>
      </c>
      <c r="AB14" s="14">
        <v>5.5158324821246172</v>
      </c>
      <c r="AC14" s="14">
        <v>3.0351670801109005</v>
      </c>
      <c r="AD14" s="41">
        <v>68530</v>
      </c>
      <c r="AE14" s="13">
        <v>8.8776157260621424</v>
      </c>
      <c r="AF14" s="14">
        <v>5.0729232720355109</v>
      </c>
      <c r="AG14" s="14">
        <v>3.8046924540266329</v>
      </c>
      <c r="AH14" s="41">
        <v>67811</v>
      </c>
      <c r="AI14" s="13">
        <v>8.6730798595205378</v>
      </c>
      <c r="AJ14" s="14">
        <v>5.4970224461749888</v>
      </c>
      <c r="AK14" s="14">
        <v>3.176057413345549</v>
      </c>
      <c r="AL14" s="51">
        <v>65490</v>
      </c>
      <c r="AM14" s="13">
        <v>8.7805915505795493</v>
      </c>
      <c r="AN14" s="14">
        <v>5.3473498716332202</v>
      </c>
      <c r="AO14" s="14">
        <v>3.4332416789463291</v>
      </c>
      <c r="AP14" s="41">
        <v>65827</v>
      </c>
      <c r="AQ14" s="13">
        <v>9.0485839352832915</v>
      </c>
      <c r="AR14" s="14">
        <v>5.1507323939304879</v>
      </c>
      <c r="AS14" s="14">
        <v>3.8978515413528019</v>
      </c>
      <c r="AT14" s="41">
        <v>64651</v>
      </c>
      <c r="AU14" s="13">
        <v>8.4527928818586258</v>
      </c>
      <c r="AV14" s="14">
        <v>4.8937221947602572</v>
      </c>
      <c r="AW14" s="14">
        <v>3.5590706870983686</v>
      </c>
      <c r="AX14" s="41">
        <v>60690</v>
      </c>
    </row>
    <row r="15" spans="1:50" x14ac:dyDescent="0.2">
      <c r="B15" s="10" t="s">
        <v>17</v>
      </c>
      <c r="C15" s="13">
        <v>9.9861974913528115</v>
      </c>
      <c r="D15" s="14">
        <v>6.1258942760831667</v>
      </c>
      <c r="E15" s="14">
        <v>3.8603032152696439</v>
      </c>
      <c r="F15" s="41">
        <v>181851</v>
      </c>
      <c r="G15" s="13">
        <v>9.3697701048181106</v>
      </c>
      <c r="H15" s="14">
        <v>5.5822249625649611</v>
      </c>
      <c r="I15" s="14">
        <v>3.787545142253149</v>
      </c>
      <c r="J15" s="41">
        <v>181648</v>
      </c>
      <c r="K15" s="13">
        <v>9.7082113027443331</v>
      </c>
      <c r="L15" s="14">
        <v>5.9496691615142643</v>
      </c>
      <c r="M15" s="14">
        <v>3.7585421412300684</v>
      </c>
      <c r="N15" s="41">
        <v>184380</v>
      </c>
      <c r="O15" s="13">
        <v>9.53459466924458</v>
      </c>
      <c r="P15" s="14">
        <v>5.8610689131335452</v>
      </c>
      <c r="Q15" s="14">
        <v>3.6735257561110344</v>
      </c>
      <c r="R15" s="41">
        <v>181025</v>
      </c>
      <c r="S15" s="13">
        <v>9.6112641567187023</v>
      </c>
      <c r="T15" s="14">
        <v>5.8379942677463337</v>
      </c>
      <c r="U15" s="14">
        <v>3.7732698889723681</v>
      </c>
      <c r="V15" s="41">
        <v>179685</v>
      </c>
      <c r="W15" s="13">
        <v>9.3099053784298906</v>
      </c>
      <c r="X15" s="14">
        <v>5.9490915652595611</v>
      </c>
      <c r="Y15" s="14">
        <v>3.36081381317033</v>
      </c>
      <c r="Z15" s="41">
        <v>177338</v>
      </c>
      <c r="AA15" s="13">
        <v>9.2636741366391941</v>
      </c>
      <c r="AB15" s="14">
        <v>5.8862929409894873</v>
      </c>
      <c r="AC15" s="14">
        <v>3.377381195649706</v>
      </c>
      <c r="AD15" s="41">
        <v>176172</v>
      </c>
      <c r="AE15" s="13">
        <v>8.8690145602995649</v>
      </c>
      <c r="AF15" s="14">
        <v>5.777169587696747</v>
      </c>
      <c r="AG15" s="14">
        <v>3.0918449726028183</v>
      </c>
      <c r="AH15" s="41">
        <v>174653</v>
      </c>
      <c r="AI15" s="13">
        <v>9.383138891862</v>
      </c>
      <c r="AJ15" s="14">
        <v>5.7202659150641599</v>
      </c>
      <c r="AK15" s="14">
        <v>3.6628729767978405</v>
      </c>
      <c r="AL15" s="51">
        <v>168174</v>
      </c>
      <c r="AM15" s="13">
        <v>9.1658537745949413</v>
      </c>
      <c r="AN15" s="14">
        <v>5.7873950179629325</v>
      </c>
      <c r="AO15" s="14">
        <v>3.3784587566320097</v>
      </c>
      <c r="AP15" s="41">
        <v>168124</v>
      </c>
      <c r="AQ15" s="13">
        <v>9.2751463934396199</v>
      </c>
      <c r="AR15" s="14">
        <v>5.7885706260571164</v>
      </c>
      <c r="AS15" s="14">
        <v>3.4865757673825035</v>
      </c>
      <c r="AT15" s="41">
        <v>163771</v>
      </c>
      <c r="AU15" s="13">
        <v>9.4874683371209407</v>
      </c>
      <c r="AV15" s="14">
        <v>5.8930397015061438</v>
      </c>
      <c r="AW15" s="14">
        <v>3.594428635614797</v>
      </c>
      <c r="AX15" s="41">
        <v>153571</v>
      </c>
    </row>
    <row r="16" spans="1:50" x14ac:dyDescent="0.2">
      <c r="B16" s="10" t="s">
        <v>3</v>
      </c>
      <c r="C16" s="13">
        <v>8.6436667081828364</v>
      </c>
      <c r="D16" s="14">
        <v>4.8573919541661477</v>
      </c>
      <c r="E16" s="14">
        <v>3.7862747540166897</v>
      </c>
      <c r="F16" s="41">
        <v>40145</v>
      </c>
      <c r="G16" s="13">
        <v>8.5779247622984709</v>
      </c>
      <c r="H16" s="14">
        <v>4.8315419594873914</v>
      </c>
      <c r="I16" s="14">
        <v>3.746382802811079</v>
      </c>
      <c r="J16" s="41">
        <v>38704</v>
      </c>
      <c r="K16" s="13">
        <v>8.5833509402070565</v>
      </c>
      <c r="L16" s="14">
        <v>5.0707796323684766</v>
      </c>
      <c r="M16" s="14">
        <v>3.5125713078385803</v>
      </c>
      <c r="N16" s="41">
        <v>37864</v>
      </c>
      <c r="O16" s="13">
        <v>8.5132834247723039</v>
      </c>
      <c r="P16" s="14">
        <v>4.6485230128915438</v>
      </c>
      <c r="Q16" s="14">
        <v>3.8647604118807601</v>
      </c>
      <c r="R16" s="41">
        <v>37001</v>
      </c>
      <c r="S16" s="13">
        <v>7.980934434406695</v>
      </c>
      <c r="T16" s="14">
        <v>4.4892756193537657</v>
      </c>
      <c r="U16" s="14">
        <v>3.4916588150529293</v>
      </c>
      <c r="V16" s="41">
        <v>36086</v>
      </c>
      <c r="W16" s="13">
        <v>7.7568557340177051</v>
      </c>
      <c r="X16" s="14">
        <v>4.8155944519738174</v>
      </c>
      <c r="Y16" s="14">
        <v>2.9412612820438881</v>
      </c>
      <c r="Z16" s="41">
        <v>34679</v>
      </c>
      <c r="AA16" s="13">
        <v>7.1674144863352955</v>
      </c>
      <c r="AB16" s="14">
        <v>4.312103024299283</v>
      </c>
      <c r="AC16" s="14">
        <v>2.855311462036012</v>
      </c>
      <c r="AD16" s="41">
        <v>34322</v>
      </c>
      <c r="AE16" s="13">
        <v>7.5757575757575761</v>
      </c>
      <c r="AF16" s="14">
        <v>4.5157456922162806</v>
      </c>
      <c r="AG16" s="14">
        <v>3.0600118835412955</v>
      </c>
      <c r="AH16" s="41">
        <v>33660</v>
      </c>
      <c r="AI16" s="13">
        <v>9.2671886469292879</v>
      </c>
      <c r="AJ16" s="14">
        <v>6.1169562025935891</v>
      </c>
      <c r="AK16" s="14">
        <v>3.1502324443356984</v>
      </c>
      <c r="AL16" s="51">
        <v>32696</v>
      </c>
      <c r="AM16" s="13">
        <v>8.913565426170468</v>
      </c>
      <c r="AN16" s="14">
        <v>5.5522208883553423</v>
      </c>
      <c r="AO16" s="14">
        <v>3.3613445378151261</v>
      </c>
      <c r="AP16" s="41">
        <v>33320</v>
      </c>
      <c r="AQ16" s="13">
        <v>7.6404764769582485</v>
      </c>
      <c r="AR16" s="14">
        <v>4.5421730237035254</v>
      </c>
      <c r="AS16" s="14">
        <v>3.0983034532547227</v>
      </c>
      <c r="AT16" s="41">
        <v>33244</v>
      </c>
      <c r="AU16" s="13">
        <v>7.3476349799908158</v>
      </c>
      <c r="AV16" s="14">
        <v>4.8874893393688907</v>
      </c>
      <c r="AW16" s="14">
        <v>2.4601456406219246</v>
      </c>
      <c r="AX16" s="41">
        <v>30486</v>
      </c>
    </row>
    <row r="17" spans="2:52" x14ac:dyDescent="0.2">
      <c r="B17" s="10" t="s">
        <v>22</v>
      </c>
      <c r="C17" s="13">
        <v>8.6140824419340856</v>
      </c>
      <c r="D17" s="14">
        <v>4.5319737412109697</v>
      </c>
      <c r="E17" s="14">
        <v>4.0821087007231167</v>
      </c>
      <c r="F17" s="41">
        <v>60016</v>
      </c>
      <c r="G17" s="13">
        <v>8.4718534927372033</v>
      </c>
      <c r="H17" s="14">
        <v>4.582579434195174</v>
      </c>
      <c r="I17" s="14">
        <v>3.8892740585420293</v>
      </c>
      <c r="J17" s="41">
        <v>59137</v>
      </c>
      <c r="K17" s="13">
        <v>8.0988122871520307</v>
      </c>
      <c r="L17" s="14">
        <v>3.9308042899984752</v>
      </c>
      <c r="M17" s="14">
        <v>4.1680079971535555</v>
      </c>
      <c r="N17" s="41">
        <v>59021</v>
      </c>
      <c r="O17" s="13">
        <v>8.6666666666666661</v>
      </c>
      <c r="P17" s="14">
        <v>4.2280701754385968</v>
      </c>
      <c r="Q17" s="14">
        <v>4.4385964912280702</v>
      </c>
      <c r="R17" s="41">
        <v>57000</v>
      </c>
      <c r="S17" s="13">
        <v>8.1865100551699594</v>
      </c>
      <c r="T17" s="14">
        <v>4.0042712226374801</v>
      </c>
      <c r="U17" s="14">
        <v>4.1822388325324793</v>
      </c>
      <c r="V17" s="41">
        <v>56190</v>
      </c>
      <c r="W17" s="13">
        <v>8.3255567144242555</v>
      </c>
      <c r="X17" s="14">
        <v>4.1353314669447956</v>
      </c>
      <c r="Y17" s="14">
        <v>4.1902252474794608</v>
      </c>
      <c r="Z17" s="41">
        <v>54651</v>
      </c>
      <c r="AA17" s="13">
        <v>8.2399777798352005</v>
      </c>
      <c r="AB17" s="14">
        <v>4.684751411906305</v>
      </c>
      <c r="AC17" s="14">
        <v>3.5552263679288956</v>
      </c>
      <c r="AD17" s="41">
        <v>54005</v>
      </c>
      <c r="AE17" s="13">
        <v>7.6810601713894391</v>
      </c>
      <c r="AF17" s="14">
        <v>3.9978530048677561</v>
      </c>
      <c r="AG17" s="14">
        <v>3.683207166521683</v>
      </c>
      <c r="AH17" s="41">
        <v>54029</v>
      </c>
      <c r="AI17" s="13">
        <v>8.7035153159263032</v>
      </c>
      <c r="AJ17" s="14">
        <v>4.5401454353641535</v>
      </c>
      <c r="AK17" s="14">
        <v>4.1633698805621489</v>
      </c>
      <c r="AL17" s="51">
        <v>53082</v>
      </c>
      <c r="AM17" s="13">
        <v>8.1887091717231328</v>
      </c>
      <c r="AN17" s="14">
        <v>4.4078862433374519</v>
      </c>
      <c r="AO17" s="14">
        <v>3.7808229283856809</v>
      </c>
      <c r="AP17" s="41">
        <v>54221</v>
      </c>
      <c r="AQ17" s="13">
        <v>7.9632351573111055</v>
      </c>
      <c r="AR17" s="14">
        <v>4.3537313710532688</v>
      </c>
      <c r="AS17" s="14">
        <v>3.6095037862578376</v>
      </c>
      <c r="AT17" s="41">
        <v>53747</v>
      </c>
      <c r="AU17" s="13">
        <v>8.2554106407577947</v>
      </c>
      <c r="AV17" s="14">
        <v>4.2392649236323807</v>
      </c>
      <c r="AW17" s="14">
        <v>4.0161457171254131</v>
      </c>
      <c r="AX17" s="41">
        <v>49301</v>
      </c>
    </row>
    <row r="18" spans="2:52" x14ac:dyDescent="0.2">
      <c r="B18" s="10" t="s">
        <v>23</v>
      </c>
      <c r="C18" s="13">
        <v>8.6239575435936313</v>
      </c>
      <c r="D18" s="14">
        <v>4.6594642405863027</v>
      </c>
      <c r="E18" s="14">
        <v>3.9644933030073286</v>
      </c>
      <c r="F18" s="41">
        <v>63307</v>
      </c>
      <c r="G18" s="13">
        <v>8.3523279723289292</v>
      </c>
      <c r="H18" s="14">
        <v>5.068779189314121</v>
      </c>
      <c r="I18" s="14">
        <v>3.2835487830148078</v>
      </c>
      <c r="J18" s="41">
        <v>62737</v>
      </c>
      <c r="K18" s="13">
        <v>8.1767709708722425</v>
      </c>
      <c r="L18" s="14">
        <v>4.979239910278233</v>
      </c>
      <c r="M18" s="14">
        <v>3.197531060594009</v>
      </c>
      <c r="N18" s="41">
        <v>62861</v>
      </c>
      <c r="O18" s="13">
        <v>8.1390447161062287</v>
      </c>
      <c r="P18" s="14">
        <v>4.6531988715587405</v>
      </c>
      <c r="Q18" s="14">
        <v>3.4858458445474887</v>
      </c>
      <c r="R18" s="41">
        <v>61678</v>
      </c>
      <c r="S18" s="13">
        <v>7.6478980722651713</v>
      </c>
      <c r="T18" s="14">
        <v>4.1640399482398225</v>
      </c>
      <c r="U18" s="14">
        <v>3.4838581240253492</v>
      </c>
      <c r="V18" s="41">
        <v>60278</v>
      </c>
      <c r="W18" s="13">
        <v>8.3398048418138231</v>
      </c>
      <c r="X18" s="14">
        <v>5.064658810818111</v>
      </c>
      <c r="Y18" s="14">
        <v>3.2751460309957121</v>
      </c>
      <c r="Z18" s="41">
        <v>59234</v>
      </c>
      <c r="AA18" s="13">
        <v>8.69073331276355</v>
      </c>
      <c r="AB18" s="14">
        <v>4.8853234598374984</v>
      </c>
      <c r="AC18" s="14">
        <v>3.8054098529260516</v>
      </c>
      <c r="AD18" s="41">
        <v>58338</v>
      </c>
      <c r="AE18" s="13">
        <v>7.9336334316413994</v>
      </c>
      <c r="AF18" s="14">
        <v>4.6222038253910762</v>
      </c>
      <c r="AG18" s="14">
        <v>3.3114296062503232</v>
      </c>
      <c r="AH18" s="41">
        <v>57981</v>
      </c>
      <c r="AI18" s="13">
        <v>8.2896414907184361</v>
      </c>
      <c r="AJ18" s="14">
        <v>4.3928014737140426</v>
      </c>
      <c r="AK18" s="14">
        <v>3.8968400170043926</v>
      </c>
      <c r="AL18" s="51">
        <v>56456</v>
      </c>
      <c r="AM18" s="13">
        <v>8.7361577968502058</v>
      </c>
      <c r="AN18" s="14">
        <v>5.0847168426979712</v>
      </c>
      <c r="AO18" s="14">
        <v>3.6514409541522346</v>
      </c>
      <c r="AP18" s="41">
        <v>58607</v>
      </c>
      <c r="AQ18" s="13">
        <v>7.6181157394464636</v>
      </c>
      <c r="AR18" s="14">
        <v>4.6826949958065418</v>
      </c>
      <c r="AS18" s="14">
        <v>2.9354207436399218</v>
      </c>
      <c r="AT18" s="41">
        <v>57232</v>
      </c>
      <c r="AU18" s="13">
        <v>8.5458723436580133</v>
      </c>
      <c r="AV18" s="14">
        <v>4.6907343752967314</v>
      </c>
      <c r="AW18" s="14">
        <v>3.8551379683612814</v>
      </c>
      <c r="AX18" s="41">
        <v>52657</v>
      </c>
    </row>
    <row r="19" spans="2:52" x14ac:dyDescent="0.2">
      <c r="B19" s="10" t="s">
        <v>21</v>
      </c>
      <c r="C19" s="13">
        <v>7.4789654097849798</v>
      </c>
      <c r="D19" s="14">
        <v>4.2736945198771314</v>
      </c>
      <c r="E19" s="14">
        <v>3.2052708899078484</v>
      </c>
      <c r="F19" s="41">
        <v>44926</v>
      </c>
      <c r="G19" s="13">
        <v>7.3182777353746689</v>
      </c>
      <c r="H19" s="14">
        <v>3.7713823912360258</v>
      </c>
      <c r="I19" s="14">
        <v>3.546895344138643</v>
      </c>
      <c r="J19" s="41">
        <v>44546</v>
      </c>
      <c r="K19" s="13">
        <v>8.341309995897717</v>
      </c>
      <c r="L19" s="14">
        <v>4.672045216281508</v>
      </c>
      <c r="M19" s="14">
        <v>3.6692647796162086</v>
      </c>
      <c r="N19" s="41">
        <v>43878</v>
      </c>
      <c r="O19" s="13">
        <v>7.8702937770319776</v>
      </c>
      <c r="P19" s="14">
        <v>4.1124057573680606</v>
      </c>
      <c r="Q19" s="14">
        <v>3.7578880196639171</v>
      </c>
      <c r="R19" s="41">
        <v>42311</v>
      </c>
      <c r="S19" s="13">
        <v>8.147085289039131</v>
      </c>
      <c r="T19" s="14">
        <v>4.3045793915221671</v>
      </c>
      <c r="U19" s="14">
        <v>3.842505897516963</v>
      </c>
      <c r="V19" s="41">
        <v>41119</v>
      </c>
      <c r="W19" s="13">
        <v>7.5202849792202651</v>
      </c>
      <c r="X19" s="14">
        <v>3.5375024737779537</v>
      </c>
      <c r="Y19" s="14">
        <v>3.9827825054423114</v>
      </c>
      <c r="Z19" s="41">
        <v>40424</v>
      </c>
      <c r="AA19" s="13">
        <v>7.2306037178813582</v>
      </c>
      <c r="AB19" s="14">
        <v>3.6528309439815856</v>
      </c>
      <c r="AC19" s="14">
        <v>3.5777727738997722</v>
      </c>
      <c r="AD19" s="41">
        <v>39969</v>
      </c>
      <c r="AE19" s="13">
        <v>7.5243024870597148</v>
      </c>
      <c r="AF19" s="14">
        <v>4.1661406388082316</v>
      </c>
      <c r="AG19" s="14">
        <v>3.3581618482514832</v>
      </c>
      <c r="AH19" s="41">
        <v>39605</v>
      </c>
      <c r="AI19" s="13">
        <v>8.3750802825947339</v>
      </c>
      <c r="AJ19" s="14">
        <v>4.5728965960179835</v>
      </c>
      <c r="AK19" s="14">
        <v>3.80218368657675</v>
      </c>
      <c r="AL19" s="51">
        <v>38925</v>
      </c>
      <c r="AM19" s="13">
        <v>7.7007154213036566</v>
      </c>
      <c r="AN19" s="14">
        <v>4.5955882352941178</v>
      </c>
      <c r="AO19" s="14">
        <v>3.1051271860095389</v>
      </c>
      <c r="AP19" s="41">
        <v>40256</v>
      </c>
      <c r="AQ19" s="13">
        <v>8.0790630319351635</v>
      </c>
      <c r="AR19" s="14">
        <v>4.5476486877874036</v>
      </c>
      <c r="AS19" s="14">
        <v>3.5314143441477603</v>
      </c>
      <c r="AT19" s="41">
        <v>39361</v>
      </c>
      <c r="AU19" s="13">
        <v>7.5097297593597547</v>
      </c>
      <c r="AV19" s="14">
        <v>4.1659814723455568</v>
      </c>
      <c r="AW19" s="14">
        <v>3.343748287014197</v>
      </c>
      <c r="AX19" s="41">
        <v>36486</v>
      </c>
    </row>
    <row r="20" spans="2:52" x14ac:dyDescent="0.2">
      <c r="B20" s="10" t="s">
        <v>25</v>
      </c>
      <c r="C20" s="13">
        <v>9.3213273303318331</v>
      </c>
      <c r="D20" s="14">
        <v>5.419376354844089</v>
      </c>
      <c r="E20" s="14">
        <v>3.9019509754877437</v>
      </c>
      <c r="F20" s="41">
        <v>59970</v>
      </c>
      <c r="G20" s="13">
        <v>9.5899745707780006</v>
      </c>
      <c r="H20" s="14">
        <v>5.7340402546246283</v>
      </c>
      <c r="I20" s="14">
        <v>3.8559343161533732</v>
      </c>
      <c r="J20" s="41">
        <v>60167</v>
      </c>
      <c r="K20" s="13">
        <v>8.7485544773492894</v>
      </c>
      <c r="L20" s="14">
        <v>5.4468969447098061</v>
      </c>
      <c r="M20" s="14">
        <v>3.3016575326394824</v>
      </c>
      <c r="N20" s="41">
        <v>59667</v>
      </c>
      <c r="O20" s="13">
        <v>8.564547859711011</v>
      </c>
      <c r="P20" s="14">
        <v>5.1726477172512038</v>
      </c>
      <c r="Q20" s="14">
        <v>3.3919001424598059</v>
      </c>
      <c r="R20" s="41">
        <v>58964</v>
      </c>
      <c r="S20" s="13">
        <v>9.2687950566426363</v>
      </c>
      <c r="T20" s="14">
        <v>5.7844146927566085</v>
      </c>
      <c r="U20" s="14">
        <v>3.4843803638860282</v>
      </c>
      <c r="V20" s="41">
        <v>58260</v>
      </c>
      <c r="W20" s="13">
        <v>8.8880418586922616</v>
      </c>
      <c r="X20" s="14">
        <v>5.5268720329879759</v>
      </c>
      <c r="Y20" s="14">
        <v>3.3611698257042866</v>
      </c>
      <c r="Z20" s="41">
        <v>57718</v>
      </c>
      <c r="AA20" s="13">
        <v>8.5305062135785992</v>
      </c>
      <c r="AB20" s="14">
        <v>5.0902197570736503</v>
      </c>
      <c r="AC20" s="14">
        <v>3.4402864565049498</v>
      </c>
      <c r="AD20" s="41">
        <v>56972</v>
      </c>
      <c r="AE20" s="13">
        <v>7.8075431794148749</v>
      </c>
      <c r="AF20" s="14">
        <v>4.3884384913641172</v>
      </c>
      <c r="AG20" s="14">
        <v>3.4191046880507576</v>
      </c>
      <c r="AH20" s="41">
        <v>56740</v>
      </c>
      <c r="AI20" s="13">
        <v>8.7658424339822485</v>
      </c>
      <c r="AJ20" s="14">
        <v>5.3508163190766647</v>
      </c>
      <c r="AK20" s="14">
        <v>3.4150261149055847</v>
      </c>
      <c r="AL20" s="51">
        <v>54758</v>
      </c>
      <c r="AM20" s="13">
        <v>8.6713487172137018</v>
      </c>
      <c r="AN20" s="14">
        <v>5.1777268166833883</v>
      </c>
      <c r="AO20" s="14">
        <v>3.493621900530314</v>
      </c>
      <c r="AP20" s="41">
        <v>55816</v>
      </c>
      <c r="AQ20" s="13">
        <v>8.494751650254301</v>
      </c>
      <c r="AR20" s="14">
        <v>4.9778162536522021</v>
      </c>
      <c r="AS20" s="14">
        <v>3.5169353966020993</v>
      </c>
      <c r="AT20" s="41">
        <v>55446</v>
      </c>
      <c r="AU20" s="13">
        <v>8.7825678741882474</v>
      </c>
      <c r="AV20" s="14">
        <v>4.8118300602456774</v>
      </c>
      <c r="AW20" s="14">
        <v>3.9707378139425709</v>
      </c>
      <c r="AX20" s="41">
        <v>51124</v>
      </c>
    </row>
    <row r="21" spans="2:52" s="18" customFormat="1" x14ac:dyDescent="0.2">
      <c r="B21" s="15" t="s">
        <v>26</v>
      </c>
      <c r="C21" s="16">
        <v>9.0033411082392991</v>
      </c>
      <c r="D21" s="17">
        <v>5.3079493160184077</v>
      </c>
      <c r="E21" s="17">
        <v>3.6953917922208914</v>
      </c>
      <c r="F21" s="42">
        <v>793143</v>
      </c>
      <c r="G21" s="16">
        <v>8.7242072868594249</v>
      </c>
      <c r="H21" s="17">
        <v>5.1168259120038417</v>
      </c>
      <c r="I21" s="17">
        <v>3.6073813748555836</v>
      </c>
      <c r="J21" s="42">
        <v>785057</v>
      </c>
      <c r="K21" s="16">
        <v>8.585847635639686</v>
      </c>
      <c r="L21" s="17">
        <v>5.0530493660731484</v>
      </c>
      <c r="M21" s="17">
        <v>3.5327982695665372</v>
      </c>
      <c r="N21" s="42">
        <v>784081</v>
      </c>
      <c r="O21" s="16">
        <v>8.5964353622755389</v>
      </c>
      <c r="P21" s="17">
        <v>4.9875050287836435</v>
      </c>
      <c r="Q21" s="17">
        <v>3.6089303334918958</v>
      </c>
      <c r="R21" s="42">
        <v>763107</v>
      </c>
      <c r="S21" s="16">
        <v>8.6095025279220785</v>
      </c>
      <c r="T21" s="17">
        <v>5.0264419446623627</v>
      </c>
      <c r="U21" s="17">
        <v>3.5830605832597162</v>
      </c>
      <c r="V21" s="42">
        <v>748243</v>
      </c>
      <c r="W21" s="16">
        <v>8.5647990172660897</v>
      </c>
      <c r="X21" s="17">
        <v>5.1088514297413496</v>
      </c>
      <c r="Y21" s="17">
        <v>3.4559475875247387</v>
      </c>
      <c r="Z21" s="42">
        <v>732650</v>
      </c>
      <c r="AA21" s="16">
        <v>8.5635034274765331</v>
      </c>
      <c r="AB21" s="17">
        <v>5.151936472362296</v>
      </c>
      <c r="AC21" s="17">
        <v>3.4115669551142376</v>
      </c>
      <c r="AD21" s="42">
        <v>722835</v>
      </c>
      <c r="AE21" s="16">
        <v>8.1958391860066939</v>
      </c>
      <c r="AF21" s="17">
        <v>4.8834007701069906</v>
      </c>
      <c r="AG21" s="17">
        <v>3.3124384158997042</v>
      </c>
      <c r="AH21" s="42">
        <v>715485</v>
      </c>
      <c r="AI21" s="16">
        <v>8.6389410442063816</v>
      </c>
      <c r="AJ21" s="17">
        <v>5.1031232095412244</v>
      </c>
      <c r="AK21" s="17">
        <v>3.5358178346651581</v>
      </c>
      <c r="AL21" s="52">
        <v>692909</v>
      </c>
      <c r="AM21" s="16">
        <v>8.559676406644428</v>
      </c>
      <c r="AN21" s="17">
        <v>5.1597250994144055</v>
      </c>
      <c r="AO21" s="17">
        <v>3.399951307230022</v>
      </c>
      <c r="AP21" s="42">
        <v>702363</v>
      </c>
      <c r="AQ21" s="16">
        <v>8.4769405132079854</v>
      </c>
      <c r="AR21" s="17">
        <v>5.0652407660341163</v>
      </c>
      <c r="AS21" s="17">
        <v>3.411699747173869</v>
      </c>
      <c r="AT21" s="42">
        <v>688220</v>
      </c>
      <c r="AU21" s="16">
        <v>8.5321132520989718</v>
      </c>
      <c r="AV21" s="17">
        <v>4.9730210476539431</v>
      </c>
      <c r="AW21" s="17">
        <v>3.5590922044450291</v>
      </c>
      <c r="AX21" s="42">
        <f>SUM(AX8:AX20)</f>
        <v>638646</v>
      </c>
    </row>
    <row r="22" spans="2:52" x14ac:dyDescent="0.2">
      <c r="B22" s="10" t="s">
        <v>8</v>
      </c>
      <c r="C22" s="13">
        <v>16.428295322767685</v>
      </c>
      <c r="D22" s="14">
        <v>10.630073444143797</v>
      </c>
      <c r="E22" s="14">
        <v>5.798221878623889</v>
      </c>
      <c r="F22" s="41">
        <v>5142</v>
      </c>
      <c r="G22" s="13">
        <v>16.90251572327044</v>
      </c>
      <c r="H22" s="14">
        <v>13.168238993710691</v>
      </c>
      <c r="I22" s="14">
        <v>3.7342767295597485</v>
      </c>
      <c r="J22" s="41">
        <v>5088</v>
      </c>
      <c r="K22" s="13">
        <v>16.235100698725851</v>
      </c>
      <c r="L22" s="14">
        <v>12.124948623099055</v>
      </c>
      <c r="M22" s="14">
        <v>4.1101520756267984</v>
      </c>
      <c r="N22" s="41">
        <v>4866</v>
      </c>
      <c r="O22" s="13">
        <v>22.811210080382359</v>
      </c>
      <c r="P22" s="14">
        <v>16.728220725613731</v>
      </c>
      <c r="Q22" s="14">
        <v>6.0829893547686291</v>
      </c>
      <c r="R22" s="41">
        <v>4603</v>
      </c>
      <c r="S22" s="13">
        <v>16.530747189772978</v>
      </c>
      <c r="T22" s="14">
        <v>13.004187789288077</v>
      </c>
      <c r="U22" s="14">
        <v>3.5265594004849019</v>
      </c>
      <c r="V22" s="41">
        <v>4537</v>
      </c>
      <c r="W22" s="35">
        <v>15.75984990619137</v>
      </c>
      <c r="X22" s="36">
        <v>11.632270168855534</v>
      </c>
      <c r="Y22" s="36">
        <v>4.1275797373358349</v>
      </c>
      <c r="Z22" s="41" t="s">
        <v>58</v>
      </c>
      <c r="AA22" s="44">
        <v>19.952494061757719</v>
      </c>
      <c r="AB22" s="45">
        <v>14.251781472684085</v>
      </c>
      <c r="AC22" s="45">
        <v>5.7007125890736345</v>
      </c>
      <c r="AD22" s="46">
        <v>4210</v>
      </c>
      <c r="AE22" s="44">
        <v>15.090989791389259</v>
      </c>
      <c r="AF22" s="45">
        <v>12.205947625388371</v>
      </c>
      <c r="AG22" s="36" t="s">
        <v>63</v>
      </c>
      <c r="AH22" s="46">
        <v>4506</v>
      </c>
      <c r="AI22" s="44">
        <v>19.222367846221058</v>
      </c>
      <c r="AJ22" s="45">
        <v>16.16426387068589</v>
      </c>
      <c r="AK22" s="36">
        <v>3.0581039755351682</v>
      </c>
      <c r="AL22" s="53">
        <v>4578</v>
      </c>
      <c r="AM22" s="44">
        <v>18.845974872033505</v>
      </c>
      <c r="AN22" s="45">
        <v>14.890646812470917</v>
      </c>
      <c r="AO22" s="36">
        <v>3.955328059562587</v>
      </c>
      <c r="AP22" s="46">
        <v>4298</v>
      </c>
      <c r="AQ22" s="44">
        <v>18.341892883345562</v>
      </c>
      <c r="AR22" s="45">
        <v>14.918072878454391</v>
      </c>
      <c r="AS22" s="36">
        <v>3.4238200048911716</v>
      </c>
      <c r="AT22" s="46">
        <v>4089</v>
      </c>
      <c r="AU22" s="44">
        <v>17.629024016351558</v>
      </c>
      <c r="AV22" s="45">
        <v>14.818599897802759</v>
      </c>
      <c r="AW22" s="36">
        <v>2.810424118548799</v>
      </c>
      <c r="AX22" s="46">
        <v>3914</v>
      </c>
    </row>
    <row r="23" spans="2:52" x14ac:dyDescent="0.2">
      <c r="B23" s="10" t="s">
        <v>6</v>
      </c>
      <c r="C23" s="13">
        <v>15.494636471990464</v>
      </c>
      <c r="D23" s="14">
        <v>12.961859356376639</v>
      </c>
      <c r="E23" s="14">
        <v>2.5327771156138259</v>
      </c>
      <c r="F23" s="41">
        <v>6712</v>
      </c>
      <c r="G23" s="13">
        <v>17.779839208410635</v>
      </c>
      <c r="H23" s="14">
        <v>14.687693259121831</v>
      </c>
      <c r="I23" s="14">
        <v>3.0921459492888066</v>
      </c>
      <c r="J23" s="41">
        <v>6468</v>
      </c>
      <c r="K23" s="13">
        <v>14.596172559195589</v>
      </c>
      <c r="L23" s="14">
        <v>11.352578657152124</v>
      </c>
      <c r="M23" s="14">
        <v>3.2435939020434641</v>
      </c>
      <c r="N23" s="41">
        <v>6166</v>
      </c>
      <c r="O23" s="13">
        <v>16.448326055312954</v>
      </c>
      <c r="P23" s="14">
        <v>13.245997088791849</v>
      </c>
      <c r="Q23" s="14">
        <v>3.2023289665211063</v>
      </c>
      <c r="R23" s="41">
        <v>6870</v>
      </c>
      <c r="S23" s="13">
        <v>16.052484645449468</v>
      </c>
      <c r="T23" s="14">
        <v>11.446119486320491</v>
      </c>
      <c r="U23" s="14">
        <v>4.6063651591289778</v>
      </c>
      <c r="V23" s="41">
        <v>7164</v>
      </c>
      <c r="W23" s="13">
        <v>18.808777429467085</v>
      </c>
      <c r="X23" s="14">
        <v>15.548589341692789</v>
      </c>
      <c r="Y23" s="14">
        <v>3.2601880877742948</v>
      </c>
      <c r="Z23" s="41">
        <v>7975</v>
      </c>
      <c r="AA23" s="13">
        <v>18.324929282991022</v>
      </c>
      <c r="AB23" s="14">
        <v>15.619235026442013</v>
      </c>
      <c r="AC23" s="14">
        <v>2.7056942565490099</v>
      </c>
      <c r="AD23" s="41">
        <v>8131</v>
      </c>
      <c r="AE23" s="13">
        <v>18.288222384784198</v>
      </c>
      <c r="AF23" s="14">
        <v>16.093635698610097</v>
      </c>
      <c r="AG23" s="14">
        <v>2.1945866861741039</v>
      </c>
      <c r="AH23" s="41">
        <v>8202</v>
      </c>
      <c r="AI23" s="13">
        <v>17.441103735519981</v>
      </c>
      <c r="AJ23" s="14">
        <v>12.495119094103865</v>
      </c>
      <c r="AK23" s="14">
        <v>4.9459846414161133</v>
      </c>
      <c r="AL23" s="51">
        <v>7683</v>
      </c>
      <c r="AM23" s="13">
        <v>16.231388821088601</v>
      </c>
      <c r="AN23" s="14">
        <v>12.936294849890164</v>
      </c>
      <c r="AO23" s="14">
        <v>3.2950939711984377</v>
      </c>
      <c r="AP23" s="41">
        <v>8194</v>
      </c>
      <c r="AQ23" s="13">
        <v>14.00668208686713</v>
      </c>
      <c r="AR23" s="14">
        <v>11.822153687997943</v>
      </c>
      <c r="AS23" s="14">
        <v>2.1845283988691855</v>
      </c>
      <c r="AT23" s="41">
        <v>7783</v>
      </c>
      <c r="AU23" s="13">
        <v>15.116279069767442</v>
      </c>
      <c r="AV23" s="14">
        <v>12.532299741602067</v>
      </c>
      <c r="AW23" s="14">
        <v>2.5839793281653747</v>
      </c>
      <c r="AX23" s="41">
        <v>7740</v>
      </c>
    </row>
    <row r="24" spans="2:52" x14ac:dyDescent="0.2">
      <c r="B24" s="10" t="s">
        <v>60</v>
      </c>
      <c r="C24" s="13">
        <v>11.686605352326948</v>
      </c>
      <c r="D24" s="14">
        <v>7.4683631837355646</v>
      </c>
      <c r="E24" s="14">
        <v>4.2182421685913836</v>
      </c>
      <c r="F24" s="41">
        <v>14461</v>
      </c>
      <c r="G24" s="13">
        <v>11.719853148828015</v>
      </c>
      <c r="H24" s="14">
        <v>8.4015814741598422</v>
      </c>
      <c r="I24" s="14">
        <v>3.3182716746681726</v>
      </c>
      <c r="J24" s="41">
        <v>14164</v>
      </c>
      <c r="K24" s="13">
        <v>9.8204264870931546</v>
      </c>
      <c r="L24" s="14">
        <v>6.5235690235690234</v>
      </c>
      <c r="M24" s="14">
        <v>3.2968574635241303</v>
      </c>
      <c r="N24" s="41">
        <v>14256</v>
      </c>
      <c r="O24" s="13">
        <v>9.1301578314105747</v>
      </c>
      <c r="P24" s="14">
        <v>6.015995470309293</v>
      </c>
      <c r="Q24" s="14">
        <v>3.1141623611012812</v>
      </c>
      <c r="R24" s="41">
        <v>14129</v>
      </c>
      <c r="S24" s="13">
        <v>9.4061894162418316</v>
      </c>
      <c r="T24" s="14">
        <v>6.8212824010914055</v>
      </c>
      <c r="U24" s="14">
        <v>2.5849070151504274</v>
      </c>
      <c r="V24" s="41">
        <v>13927</v>
      </c>
      <c r="W24" s="13">
        <v>9.6961861667744014</v>
      </c>
      <c r="X24" s="14">
        <v>6.8950657185951307</v>
      </c>
      <c r="Y24" s="14">
        <v>2.8011204481792715</v>
      </c>
      <c r="Z24" s="41">
        <v>13923</v>
      </c>
      <c r="AA24" s="13">
        <v>9.5160814399527887</v>
      </c>
      <c r="AB24" s="14">
        <v>6.0489820005901445</v>
      </c>
      <c r="AC24" s="14">
        <v>3.4670994393626438</v>
      </c>
      <c r="AD24" s="41">
        <v>13556</v>
      </c>
      <c r="AE24" s="13">
        <v>9.0191657271702361</v>
      </c>
      <c r="AF24" s="14">
        <v>6.4637354378053367</v>
      </c>
      <c r="AG24" s="14">
        <v>2.5554302893649004</v>
      </c>
      <c r="AH24" s="41">
        <v>13305</v>
      </c>
      <c r="AI24" s="13">
        <v>9.3129770992366421</v>
      </c>
      <c r="AJ24" s="14">
        <v>6.8702290076335881</v>
      </c>
      <c r="AK24" s="14">
        <v>2.4427480916030535</v>
      </c>
      <c r="AL24" s="51">
        <v>13100</v>
      </c>
      <c r="AM24" s="13">
        <v>9.0196658287742117</v>
      </c>
      <c r="AN24" s="14">
        <v>5.9884666568091083</v>
      </c>
      <c r="AO24" s="14">
        <v>3.0311991719651044</v>
      </c>
      <c r="AP24" s="41">
        <v>13526</v>
      </c>
      <c r="AQ24" s="13">
        <v>8.9642184557438789</v>
      </c>
      <c r="AR24" s="14">
        <v>5.1977401129943503</v>
      </c>
      <c r="AS24" s="14">
        <v>3.766478342749529</v>
      </c>
      <c r="AT24" s="41">
        <v>13275</v>
      </c>
      <c r="AU24" s="13">
        <v>8.8420728894356451</v>
      </c>
      <c r="AV24" s="14">
        <v>6.6123327694910046</v>
      </c>
      <c r="AW24" s="14">
        <v>2.2297401199446409</v>
      </c>
      <c r="AX24" s="41">
        <v>13006</v>
      </c>
    </row>
    <row r="25" spans="2:52" ht="15" customHeight="1" x14ac:dyDescent="0.2">
      <c r="B25" s="10" t="s">
        <v>9</v>
      </c>
      <c r="C25" s="13">
        <v>16.46180860403863</v>
      </c>
      <c r="D25" s="14">
        <v>11.194029850746269</v>
      </c>
      <c r="E25" s="14">
        <v>5.2677787532923617</v>
      </c>
      <c r="F25" s="41">
        <v>4556</v>
      </c>
      <c r="G25" s="13">
        <v>17.762842054728758</v>
      </c>
      <c r="H25" s="14">
        <v>11.041766682669227</v>
      </c>
      <c r="I25" s="14">
        <v>6.7210753720595298</v>
      </c>
      <c r="J25" s="41">
        <v>4166</v>
      </c>
      <c r="K25" s="13">
        <v>15.454545454545455</v>
      </c>
      <c r="L25" s="14">
        <v>10.909090909090908</v>
      </c>
      <c r="M25" s="14">
        <v>4.5454545454545459</v>
      </c>
      <c r="N25" s="41">
        <v>4400</v>
      </c>
      <c r="O25" s="13">
        <v>16.587082181452626</v>
      </c>
      <c r="P25" s="14">
        <v>12.314651922593617</v>
      </c>
      <c r="Q25" s="14">
        <v>4.2724302588590097</v>
      </c>
      <c r="R25" s="41">
        <v>3979</v>
      </c>
      <c r="S25" s="13">
        <v>18.769551616266945</v>
      </c>
      <c r="T25" s="14">
        <v>11.73096976016684</v>
      </c>
      <c r="U25" s="36">
        <v>7.0385818561001043</v>
      </c>
      <c r="V25" s="41">
        <v>3836</v>
      </c>
      <c r="W25" s="13">
        <v>12.325390304026294</v>
      </c>
      <c r="X25" s="14">
        <v>8.7647219939742538</v>
      </c>
      <c r="Y25" s="14">
        <v>3.5606683100520407</v>
      </c>
      <c r="Z25" s="41">
        <v>3651</v>
      </c>
      <c r="AA25" s="13">
        <v>13.870365430781542</v>
      </c>
      <c r="AB25" s="14">
        <v>9.3358228861029602</v>
      </c>
      <c r="AC25" s="14">
        <v>4.5345425446785805</v>
      </c>
      <c r="AD25" s="41">
        <v>3749</v>
      </c>
      <c r="AE25" s="13">
        <v>14.050901378579002</v>
      </c>
      <c r="AF25" s="14">
        <v>11.664899257688228</v>
      </c>
      <c r="AG25" s="36" t="s">
        <v>64</v>
      </c>
      <c r="AH25" s="41">
        <v>3772</v>
      </c>
      <c r="AI25" s="13">
        <v>15.759312320916905</v>
      </c>
      <c r="AJ25" s="14">
        <v>11.174785100286533</v>
      </c>
      <c r="AK25" s="36">
        <v>4.5845272206303722</v>
      </c>
      <c r="AL25" s="51">
        <v>3490</v>
      </c>
      <c r="AM25" s="13">
        <v>13.785497656465399</v>
      </c>
      <c r="AN25" s="14">
        <v>9.3741384063964706</v>
      </c>
      <c r="AO25" s="36">
        <v>4.4113592500689274</v>
      </c>
      <c r="AP25" s="41">
        <v>3627</v>
      </c>
      <c r="AQ25" s="13">
        <v>18.9328743545611</v>
      </c>
      <c r="AR25" s="14">
        <v>13.195639701663799</v>
      </c>
      <c r="AS25" s="36">
        <v>5.7372346528973042</v>
      </c>
      <c r="AT25" s="41">
        <v>3486</v>
      </c>
      <c r="AU25" s="13">
        <v>13.110846245530393</v>
      </c>
      <c r="AV25" s="14">
        <v>9.8331346841477956</v>
      </c>
      <c r="AW25" s="36">
        <v>3.2777115613825982</v>
      </c>
      <c r="AX25" s="41">
        <v>3356</v>
      </c>
    </row>
    <row r="26" spans="2:52" ht="15" customHeight="1" x14ac:dyDescent="0.2">
      <c r="B26" s="10" t="s">
        <v>7</v>
      </c>
      <c r="C26" s="13">
        <v>14.679715302491104</v>
      </c>
      <c r="D26" s="14">
        <v>12.60379596678529</v>
      </c>
      <c r="E26" s="14">
        <v>2.0759193357058128</v>
      </c>
      <c r="F26" s="41">
        <v>6744</v>
      </c>
      <c r="G26" s="13">
        <v>13.749813181886116</v>
      </c>
      <c r="H26" s="14">
        <v>12.703631744133911</v>
      </c>
      <c r="I26" s="14">
        <v>1.0461814377522045</v>
      </c>
      <c r="J26" s="41">
        <v>6691</v>
      </c>
      <c r="K26" s="13">
        <v>15.360546152752098</v>
      </c>
      <c r="L26" s="14">
        <v>13.511591523254161</v>
      </c>
      <c r="M26" s="14">
        <v>1.8489546294979378</v>
      </c>
      <c r="N26" s="41">
        <v>7031</v>
      </c>
      <c r="O26" s="13">
        <v>16.078294302691365</v>
      </c>
      <c r="P26" s="14">
        <v>14.097634859606199</v>
      </c>
      <c r="Q26" s="14">
        <v>1.9806594430851683</v>
      </c>
      <c r="R26" s="41">
        <v>8583</v>
      </c>
      <c r="S26" s="13">
        <v>15.579466487334678</v>
      </c>
      <c r="T26" s="14">
        <v>13.786146603900471</v>
      </c>
      <c r="U26" s="14">
        <v>1.7933198834342077</v>
      </c>
      <c r="V26" s="41">
        <v>8922</v>
      </c>
      <c r="W26" s="13">
        <v>13.71801850843767</v>
      </c>
      <c r="X26" s="14">
        <v>11.976047904191617</v>
      </c>
      <c r="Y26" s="14">
        <v>1.7419706042460534</v>
      </c>
      <c r="Z26" s="41">
        <v>9185</v>
      </c>
      <c r="AA26" s="13">
        <v>12.995594713656388</v>
      </c>
      <c r="AB26" s="14">
        <v>11.56387665198238</v>
      </c>
      <c r="AC26" s="14">
        <v>1.4317180616740088</v>
      </c>
      <c r="AD26" s="41">
        <v>9080</v>
      </c>
      <c r="AE26" s="13">
        <v>14.395497348197857</v>
      </c>
      <c r="AF26" s="14">
        <v>13.204892304361945</v>
      </c>
      <c r="AG26" s="14">
        <v>1.190605043835913</v>
      </c>
      <c r="AH26" s="41">
        <v>9239</v>
      </c>
      <c r="AI26" s="13">
        <v>16.905677975982279</v>
      </c>
      <c r="AJ26" s="14">
        <v>14.923632971901597</v>
      </c>
      <c r="AK26" s="14">
        <v>1.982045004080681</v>
      </c>
      <c r="AL26" s="51">
        <v>8577</v>
      </c>
      <c r="AM26" s="13">
        <v>17.710248717700573</v>
      </c>
      <c r="AN26" s="14">
        <v>14.806929255782444</v>
      </c>
      <c r="AO26" s="14">
        <v>2.9033194619181262</v>
      </c>
      <c r="AP26" s="41">
        <v>10333</v>
      </c>
      <c r="AQ26" s="13">
        <v>18.270165208940721</v>
      </c>
      <c r="AR26" s="14">
        <v>16.715257531584061</v>
      </c>
      <c r="AS26" s="14">
        <v>1.554907677356657</v>
      </c>
      <c r="AT26" s="41">
        <v>10290</v>
      </c>
      <c r="AU26" s="13">
        <v>15.64107841119572</v>
      </c>
      <c r="AV26" s="14">
        <v>14.200452768059272</v>
      </c>
      <c r="AW26" s="14">
        <v>1.4406256431364479</v>
      </c>
      <c r="AX26" s="41">
        <v>9718</v>
      </c>
      <c r="AZ26" s="55"/>
    </row>
    <row r="27" spans="2:52" s="18" customFormat="1" ht="15" customHeight="1" x14ac:dyDescent="0.2">
      <c r="B27" s="15" t="s">
        <v>27</v>
      </c>
      <c r="C27" s="16">
        <v>14.131272080112625</v>
      </c>
      <c r="D27" s="17">
        <v>10.253141020532844</v>
      </c>
      <c r="E27" s="17">
        <v>3.8781310595797804</v>
      </c>
      <c r="F27" s="42">
        <v>37615</v>
      </c>
      <c r="G27" s="16">
        <v>14.57199879705826</v>
      </c>
      <c r="H27" s="17">
        <v>11.26390901386117</v>
      </c>
      <c r="I27" s="17">
        <v>3.308089783197091</v>
      </c>
      <c r="J27" s="42">
        <v>36577</v>
      </c>
      <c r="K27" s="16">
        <v>13.208420708624963</v>
      </c>
      <c r="L27" s="17">
        <v>9.9403578528827037</v>
      </c>
      <c r="M27" s="17">
        <v>3.2680628557422589</v>
      </c>
      <c r="N27" s="42">
        <v>36719</v>
      </c>
      <c r="O27" s="16">
        <v>14.437689969604863</v>
      </c>
      <c r="P27" s="17">
        <v>11.083743842364532</v>
      </c>
      <c r="Q27" s="17">
        <v>3.3539461272403313</v>
      </c>
      <c r="R27" s="42">
        <v>38164</v>
      </c>
      <c r="S27" s="16">
        <v>13.859219507111968</v>
      </c>
      <c r="T27" s="17">
        <v>10.524670452769239</v>
      </c>
      <c r="U27" s="17">
        <v>3.334549054342729</v>
      </c>
      <c r="V27" s="42">
        <v>38386</v>
      </c>
      <c r="W27" s="35">
        <v>13.420058102167262</v>
      </c>
      <c r="X27" s="36">
        <v>10.540658662621796</v>
      </c>
      <c r="Y27" s="36">
        <v>2.8536905159780961</v>
      </c>
      <c r="Z27" s="42">
        <v>38897</v>
      </c>
      <c r="AA27" s="35">
        <v>13.737540670350668</v>
      </c>
      <c r="AB27" s="36">
        <v>10.561379951453803</v>
      </c>
      <c r="AC27" s="36">
        <v>3.176160718896865</v>
      </c>
      <c r="AD27" s="42">
        <v>38726</v>
      </c>
      <c r="AE27" s="35">
        <v>13.427634276342763</v>
      </c>
      <c r="AF27" s="36">
        <v>11.249487494874948</v>
      </c>
      <c r="AG27" s="36">
        <v>2.1781467814678148</v>
      </c>
      <c r="AH27" s="42">
        <v>39024</v>
      </c>
      <c r="AI27" s="35">
        <v>14.534573046916746</v>
      </c>
      <c r="AJ27" s="36">
        <v>11.408571123223256</v>
      </c>
      <c r="AK27" s="36">
        <v>3.1260019236934915</v>
      </c>
      <c r="AL27" s="52">
        <v>37428</v>
      </c>
      <c r="AM27" s="35">
        <v>14.232828055430486</v>
      </c>
      <c r="AN27" s="36">
        <v>10.956025814197808</v>
      </c>
      <c r="AO27" s="36">
        <v>3.2768022412326778</v>
      </c>
      <c r="AP27" s="42">
        <v>39978</v>
      </c>
      <c r="AQ27" s="35">
        <v>14.310672627305895</v>
      </c>
      <c r="AR27" s="36">
        <v>11.304660603257798</v>
      </c>
      <c r="AS27" s="36">
        <v>3.0060120240480961</v>
      </c>
      <c r="AT27" s="42">
        <v>38923</v>
      </c>
      <c r="AU27" s="35">
        <v>13.17114538612392</v>
      </c>
      <c r="AV27" s="36">
        <v>10.918535008215402</v>
      </c>
      <c r="AW27" s="36">
        <v>2.2526103779085176</v>
      </c>
      <c r="AX27" s="42">
        <f>SUM(AX22:AX26)</f>
        <v>37734</v>
      </c>
    </row>
    <row r="28" spans="2:52" s="18" customFormat="1" ht="15" customHeight="1" x14ac:dyDescent="0.2">
      <c r="B28" s="19" t="s">
        <v>28</v>
      </c>
      <c r="C28" s="20">
        <v>9.2357098063666569</v>
      </c>
      <c r="D28" s="21">
        <v>5.53203730875292</v>
      </c>
      <c r="E28" s="21">
        <v>3.703672497613737</v>
      </c>
      <c r="F28" s="43">
        <v>830758</v>
      </c>
      <c r="G28" s="20">
        <v>8.9845356935083025</v>
      </c>
      <c r="H28" s="21">
        <v>5.390477998719625</v>
      </c>
      <c r="I28" s="21">
        <v>3.5940576947886771</v>
      </c>
      <c r="J28" s="43">
        <v>821634</v>
      </c>
      <c r="K28" s="20">
        <v>8.7926413255360618</v>
      </c>
      <c r="L28" s="21">
        <v>5.2716861598440543</v>
      </c>
      <c r="M28" s="21">
        <v>3.5209551656920079</v>
      </c>
      <c r="N28" s="43">
        <v>820800</v>
      </c>
      <c r="O28" s="20">
        <v>8.8746503991783054</v>
      </c>
      <c r="P28" s="21">
        <v>5.2778647923112159</v>
      </c>
      <c r="Q28" s="21">
        <v>3.59678560686709</v>
      </c>
      <c r="R28" s="43">
        <v>801271</v>
      </c>
      <c r="S28" s="20">
        <v>8.8656787380073698</v>
      </c>
      <c r="T28" s="21">
        <v>5.2947450449957989</v>
      </c>
      <c r="U28" s="21">
        <v>3.5709336930115723</v>
      </c>
      <c r="V28" s="43">
        <v>786629</v>
      </c>
      <c r="W28" s="37">
        <v>8.8095734932544616</v>
      </c>
      <c r="X28" s="38">
        <v>5.3826921755900807</v>
      </c>
      <c r="Y28" s="38">
        <v>3.425585220343025</v>
      </c>
      <c r="Z28" s="43">
        <v>771547</v>
      </c>
      <c r="AA28" s="37">
        <v>8.8266074549510805</v>
      </c>
      <c r="AB28" s="38">
        <v>5.4270110995704872</v>
      </c>
      <c r="AC28" s="38">
        <v>3.3995963553805932</v>
      </c>
      <c r="AD28" s="43">
        <v>761561</v>
      </c>
      <c r="AE28" s="37">
        <v>8.4664331373118156</v>
      </c>
      <c r="AF28" s="38">
        <v>5.2126614791871271</v>
      </c>
      <c r="AG28" s="38">
        <v>3.2537716581246876</v>
      </c>
      <c r="AH28" s="43">
        <v>754509</v>
      </c>
      <c r="AI28" s="37">
        <v>8.9410778859622333</v>
      </c>
      <c r="AJ28" s="38">
        <v>5.4262621228282288</v>
      </c>
      <c r="AK28" s="38">
        <v>3.5148157631340053</v>
      </c>
      <c r="AL28" s="54">
        <v>730337</v>
      </c>
      <c r="AM28" s="37">
        <v>8.8651980693508783</v>
      </c>
      <c r="AN28" s="38">
        <v>5.4718788265770044</v>
      </c>
      <c r="AO28" s="38">
        <v>3.3933192427738734</v>
      </c>
      <c r="AP28" s="43">
        <v>742341</v>
      </c>
      <c r="AQ28" s="37">
        <v>8.7892048595735073</v>
      </c>
      <c r="AR28" s="38">
        <v>5.3992205098866517</v>
      </c>
      <c r="AS28" s="38">
        <v>3.3899843496868565</v>
      </c>
      <c r="AT28" s="43">
        <v>727144</v>
      </c>
      <c r="AU28" s="37">
        <v>8.7909163487980138</v>
      </c>
      <c r="AV28" s="38">
        <v>5.3047103699104055</v>
      </c>
      <c r="AW28" s="38">
        <v>3.4862059788876074</v>
      </c>
      <c r="AX28" s="43">
        <f>+AX21+AX27</f>
        <v>676380</v>
      </c>
    </row>
    <row r="29" spans="2:52" ht="15" customHeight="1" x14ac:dyDescent="0.2">
      <c r="AZ29" s="31"/>
    </row>
    <row r="30" spans="2:52" ht="58.5" customHeight="1" x14ac:dyDescent="0.25">
      <c r="B30" s="62" t="s">
        <v>62</v>
      </c>
      <c r="C30" s="62"/>
      <c r="D30" s="62"/>
      <c r="E30" s="62"/>
      <c r="F30" s="62"/>
      <c r="G30" s="62"/>
      <c r="H30" s="62"/>
      <c r="I30" s="62"/>
      <c r="J30" s="62"/>
      <c r="AZ30" s="31"/>
    </row>
    <row r="31" spans="2:52" ht="36" customHeight="1" x14ac:dyDescent="0.25">
      <c r="B31" s="48" t="s">
        <v>65</v>
      </c>
      <c r="C31" s="48"/>
      <c r="D31" s="48"/>
      <c r="E31" s="48"/>
      <c r="F31" s="48"/>
      <c r="G31" s="48"/>
      <c r="H31" s="48"/>
      <c r="I31" s="48"/>
      <c r="J31" s="48"/>
      <c r="AZ31" s="31"/>
    </row>
    <row r="32" spans="2:52" x14ac:dyDescent="0.2">
      <c r="AA32" s="31"/>
      <c r="AZ32" s="31"/>
    </row>
    <row r="33" spans="3:52" x14ac:dyDescent="0.2">
      <c r="F33" s="31"/>
      <c r="G33" s="31"/>
      <c r="V33" s="31"/>
      <c r="W33" s="17"/>
      <c r="X33" s="17"/>
      <c r="Y33" s="17"/>
      <c r="Z33" s="32"/>
      <c r="AA33" s="31"/>
      <c r="AZ33" s="31"/>
    </row>
    <row r="34" spans="3:52" x14ac:dyDescent="0.2">
      <c r="C34" s="16"/>
      <c r="D34" s="17"/>
      <c r="E34" s="17"/>
      <c r="F34" s="52"/>
      <c r="G34" s="31"/>
      <c r="AZ34" s="31"/>
    </row>
    <row r="35" spans="3:52" x14ac:dyDescent="0.2">
      <c r="C35" s="16"/>
      <c r="D35" s="17"/>
      <c r="E35" s="17"/>
      <c r="F35" s="52"/>
      <c r="G35" s="31"/>
      <c r="AZ35" s="31"/>
    </row>
    <row r="36" spans="3:52" x14ac:dyDescent="0.2">
      <c r="C36" s="16"/>
      <c r="D36" s="17"/>
      <c r="E36" s="17"/>
      <c r="F36" s="52"/>
      <c r="G36" s="31"/>
      <c r="AZ36" s="31"/>
    </row>
    <row r="37" spans="3:52" x14ac:dyDescent="0.2">
      <c r="C37" s="16"/>
      <c r="D37" s="17"/>
      <c r="E37" s="17"/>
      <c r="F37" s="52"/>
      <c r="G37" s="31"/>
      <c r="AZ37" s="31"/>
    </row>
    <row r="38" spans="3:52" x14ac:dyDescent="0.2">
      <c r="C38" s="16"/>
      <c r="D38" s="17"/>
      <c r="E38" s="17"/>
      <c r="F38" s="52"/>
      <c r="G38" s="31"/>
      <c r="AZ38" s="31"/>
    </row>
    <row r="39" spans="3:52" x14ac:dyDescent="0.2">
      <c r="C39" s="16"/>
      <c r="D39" s="17"/>
      <c r="E39" s="17"/>
      <c r="F39" s="52"/>
      <c r="G39" s="31"/>
      <c r="AZ39" s="31"/>
    </row>
    <row r="40" spans="3:52" x14ac:dyDescent="0.2">
      <c r="C40" s="16"/>
      <c r="D40" s="17"/>
      <c r="E40" s="17"/>
      <c r="F40" s="52"/>
      <c r="G40" s="31"/>
      <c r="AZ40" s="31"/>
    </row>
    <row r="41" spans="3:52" x14ac:dyDescent="0.2">
      <c r="C41" s="16"/>
      <c r="D41" s="17"/>
      <c r="E41" s="17"/>
      <c r="F41" s="52"/>
      <c r="G41" s="31"/>
      <c r="AZ41" s="31"/>
    </row>
    <row r="42" spans="3:52" x14ac:dyDescent="0.2">
      <c r="C42" s="16"/>
      <c r="D42" s="17"/>
      <c r="E42" s="17"/>
      <c r="F42" s="52"/>
      <c r="G42" s="31"/>
      <c r="AZ42" s="31"/>
    </row>
    <row r="43" spans="3:52" x14ac:dyDescent="0.2">
      <c r="C43" s="16"/>
      <c r="D43" s="17"/>
      <c r="E43" s="17"/>
      <c r="F43" s="52"/>
      <c r="G43" s="31"/>
      <c r="AZ43" s="31"/>
    </row>
    <row r="44" spans="3:52" x14ac:dyDescent="0.2">
      <c r="C44" s="16"/>
      <c r="D44" s="17"/>
      <c r="E44" s="17"/>
      <c r="F44" s="52"/>
      <c r="G44" s="31"/>
      <c r="AZ44" s="31"/>
    </row>
    <row r="45" spans="3:52" x14ac:dyDescent="0.2">
      <c r="C45" s="16"/>
      <c r="D45" s="17"/>
      <c r="E45" s="17"/>
      <c r="F45" s="31"/>
      <c r="G45" s="31"/>
      <c r="AZ45" s="31"/>
    </row>
    <row r="46" spans="3:52" x14ac:dyDescent="0.2">
      <c r="F46" s="31"/>
      <c r="G46" s="31"/>
      <c r="AZ46" s="31"/>
    </row>
    <row r="47" spans="3:52" x14ac:dyDescent="0.2">
      <c r="F47" s="31"/>
      <c r="G47" s="31"/>
      <c r="AZ47" s="31"/>
    </row>
    <row r="48" spans="3:52" x14ac:dyDescent="0.2">
      <c r="F48" s="31"/>
      <c r="G48" s="31"/>
      <c r="AZ48" s="31"/>
    </row>
    <row r="49" spans="6:52" x14ac:dyDescent="0.2">
      <c r="F49" s="31"/>
      <c r="G49" s="31"/>
      <c r="AZ49" s="31"/>
    </row>
    <row r="50" spans="6:52" x14ac:dyDescent="0.2">
      <c r="AZ50" s="31"/>
    </row>
    <row r="51" spans="6:52" x14ac:dyDescent="0.2">
      <c r="AZ51" s="31"/>
    </row>
    <row r="52" spans="6:52" x14ac:dyDescent="0.2">
      <c r="AZ52" s="31"/>
    </row>
    <row r="53" spans="6:52" x14ac:dyDescent="0.2">
      <c r="AZ53" s="31"/>
    </row>
    <row r="54" spans="6:52" x14ac:dyDescent="0.2">
      <c r="AZ54" s="31"/>
    </row>
    <row r="55" spans="6:52" x14ac:dyDescent="0.2">
      <c r="AZ55" s="31"/>
    </row>
    <row r="56" spans="6:52" x14ac:dyDescent="0.2">
      <c r="AZ56" s="31"/>
    </row>
    <row r="57" spans="6:52" x14ac:dyDescent="0.2">
      <c r="AZ57" s="31"/>
    </row>
    <row r="58" spans="6:52" x14ac:dyDescent="0.2">
      <c r="AZ58" s="31"/>
    </row>
    <row r="59" spans="6:52" x14ac:dyDescent="0.2">
      <c r="AZ59" s="31"/>
    </row>
    <row r="60" spans="6:52" x14ac:dyDescent="0.2">
      <c r="AZ60" s="31"/>
    </row>
    <row r="61" spans="6:52" x14ac:dyDescent="0.2">
      <c r="AZ61" s="31"/>
    </row>
    <row r="62" spans="6:52" x14ac:dyDescent="0.2">
      <c r="AZ62" s="31"/>
    </row>
    <row r="63" spans="6:52" x14ac:dyDescent="0.2">
      <c r="AZ63" s="31"/>
    </row>
    <row r="64" spans="6:52" x14ac:dyDescent="0.2">
      <c r="AZ64" s="31"/>
    </row>
    <row r="65" spans="52:52" x14ac:dyDescent="0.2">
      <c r="AZ65" s="31"/>
    </row>
    <row r="66" spans="52:52" x14ac:dyDescent="0.2">
      <c r="AZ66" s="31"/>
    </row>
    <row r="67" spans="52:52" x14ac:dyDescent="0.2">
      <c r="AZ67" s="31"/>
    </row>
    <row r="68" spans="52:52" x14ac:dyDescent="0.2">
      <c r="AZ68" s="31"/>
    </row>
    <row r="69" spans="52:52" x14ac:dyDescent="0.2">
      <c r="AZ69" s="31"/>
    </row>
    <row r="70" spans="52:52" x14ac:dyDescent="0.2">
      <c r="AZ70" s="31"/>
    </row>
    <row r="71" spans="52:52" x14ac:dyDescent="0.2">
      <c r="AZ71" s="31"/>
    </row>
    <row r="72" spans="52:52" x14ac:dyDescent="0.2">
      <c r="AZ72" s="31"/>
    </row>
    <row r="73" spans="52:52" x14ac:dyDescent="0.2">
      <c r="AZ73" s="31"/>
    </row>
    <row r="74" spans="52:52" x14ac:dyDescent="0.2">
      <c r="AZ74" s="31"/>
    </row>
    <row r="75" spans="52:52" x14ac:dyDescent="0.2">
      <c r="AZ75" s="31"/>
    </row>
    <row r="76" spans="52:52" x14ac:dyDescent="0.2">
      <c r="AZ76" s="31"/>
    </row>
    <row r="77" spans="52:52" x14ac:dyDescent="0.2">
      <c r="AZ77" s="31"/>
    </row>
    <row r="78" spans="52:52" x14ac:dyDescent="0.2">
      <c r="AZ78" s="31"/>
    </row>
    <row r="79" spans="52:52" x14ac:dyDescent="0.2">
      <c r="AZ79" s="31"/>
    </row>
    <row r="80" spans="52:52" x14ac:dyDescent="0.2">
      <c r="AZ80" s="31"/>
    </row>
    <row r="81" spans="52:52" x14ac:dyDescent="0.2">
      <c r="AZ81" s="31"/>
    </row>
    <row r="82" spans="52:52" x14ac:dyDescent="0.2">
      <c r="AZ82" s="31"/>
    </row>
    <row r="83" spans="52:52" x14ac:dyDescent="0.2">
      <c r="AZ83" s="31"/>
    </row>
    <row r="84" spans="52:52" x14ac:dyDescent="0.2">
      <c r="AZ84" s="31"/>
    </row>
    <row r="85" spans="52:52" x14ac:dyDescent="0.2">
      <c r="AZ85" s="31"/>
    </row>
    <row r="86" spans="52:52" x14ac:dyDescent="0.2">
      <c r="AZ86" s="31"/>
    </row>
    <row r="87" spans="52:52" x14ac:dyDescent="0.2">
      <c r="AZ87" s="31"/>
    </row>
    <row r="88" spans="52:52" x14ac:dyDescent="0.2">
      <c r="AZ88" s="31"/>
    </row>
    <row r="89" spans="52:52" x14ac:dyDescent="0.2">
      <c r="AZ89" s="31"/>
    </row>
    <row r="90" spans="52:52" x14ac:dyDescent="0.2">
      <c r="AZ90" s="31"/>
    </row>
    <row r="91" spans="52:52" x14ac:dyDescent="0.2">
      <c r="AZ91" s="31"/>
    </row>
    <row r="92" spans="52:52" x14ac:dyDescent="0.2">
      <c r="AZ92" s="31"/>
    </row>
    <row r="93" spans="52:52" x14ac:dyDescent="0.2">
      <c r="AZ93" s="31"/>
    </row>
    <row r="94" spans="52:52" x14ac:dyDescent="0.2">
      <c r="AZ94" s="31"/>
    </row>
    <row r="95" spans="52:52" x14ac:dyDescent="0.2">
      <c r="AZ95" s="31"/>
    </row>
    <row r="96" spans="52:52" x14ac:dyDescent="0.2">
      <c r="AZ96" s="31"/>
    </row>
    <row r="97" spans="52:52" x14ac:dyDescent="0.2">
      <c r="AZ97" s="31"/>
    </row>
    <row r="98" spans="52:52" x14ac:dyDescent="0.2">
      <c r="AZ98" s="31"/>
    </row>
    <row r="99" spans="52:52" x14ac:dyDescent="0.2">
      <c r="AZ99" s="31"/>
    </row>
    <row r="100" spans="52:52" x14ac:dyDescent="0.2">
      <c r="AZ100" s="31"/>
    </row>
    <row r="101" spans="52:52" x14ac:dyDescent="0.2">
      <c r="AZ101" s="31"/>
    </row>
    <row r="102" spans="52:52" x14ac:dyDescent="0.2">
      <c r="AZ102" s="31"/>
    </row>
    <row r="103" spans="52:52" x14ac:dyDescent="0.2">
      <c r="AZ103" s="31"/>
    </row>
    <row r="104" spans="52:52" x14ac:dyDescent="0.2">
      <c r="AZ104" s="31"/>
    </row>
    <row r="105" spans="52:52" x14ac:dyDescent="0.2">
      <c r="AZ105" s="31"/>
    </row>
    <row r="106" spans="52:52" x14ac:dyDescent="0.2">
      <c r="AZ106" s="31"/>
    </row>
    <row r="107" spans="52:52" x14ac:dyDescent="0.2">
      <c r="AZ107" s="31"/>
    </row>
    <row r="108" spans="52:52" x14ac:dyDescent="0.2">
      <c r="AZ108" s="31"/>
    </row>
    <row r="109" spans="52:52" x14ac:dyDescent="0.2">
      <c r="AZ109" s="31"/>
    </row>
    <row r="110" spans="52:52" x14ac:dyDescent="0.2">
      <c r="AZ110" s="31"/>
    </row>
    <row r="111" spans="52:52" x14ac:dyDescent="0.2">
      <c r="AZ111" s="31"/>
    </row>
    <row r="112" spans="52:52" x14ac:dyDescent="0.2">
      <c r="AZ112" s="31"/>
    </row>
    <row r="113" spans="52:52" x14ac:dyDescent="0.2">
      <c r="AZ113" s="31"/>
    </row>
    <row r="114" spans="52:52" x14ac:dyDescent="0.2">
      <c r="AZ114" s="31"/>
    </row>
    <row r="115" spans="52:52" x14ac:dyDescent="0.2">
      <c r="AZ115" s="31"/>
    </row>
    <row r="116" spans="52:52" x14ac:dyDescent="0.2">
      <c r="AZ116" s="31"/>
    </row>
    <row r="117" spans="52:52" x14ac:dyDescent="0.2">
      <c r="AZ117" s="31"/>
    </row>
    <row r="118" spans="52:52" x14ac:dyDescent="0.2">
      <c r="AZ118" s="31"/>
    </row>
    <row r="119" spans="52:52" x14ac:dyDescent="0.2">
      <c r="AZ119" s="31"/>
    </row>
    <row r="120" spans="52:52" x14ac:dyDescent="0.2">
      <c r="AZ120" s="31"/>
    </row>
    <row r="121" spans="52:52" x14ac:dyDescent="0.2">
      <c r="AZ121" s="31"/>
    </row>
    <row r="122" spans="52:52" x14ac:dyDescent="0.2">
      <c r="AZ122" s="31"/>
    </row>
    <row r="123" spans="52:52" x14ac:dyDescent="0.2">
      <c r="AZ123" s="31"/>
    </row>
    <row r="124" spans="52:52" x14ac:dyDescent="0.2">
      <c r="AZ124" s="31"/>
    </row>
    <row r="125" spans="52:52" x14ac:dyDescent="0.2">
      <c r="AZ125" s="31"/>
    </row>
    <row r="126" spans="52:52" x14ac:dyDescent="0.2">
      <c r="AZ126" s="31"/>
    </row>
    <row r="127" spans="52:52" x14ac:dyDescent="0.2">
      <c r="AZ127" s="31"/>
    </row>
    <row r="128" spans="52:52" x14ac:dyDescent="0.2">
      <c r="AZ128" s="31"/>
    </row>
    <row r="129" spans="52:52" x14ac:dyDescent="0.2">
      <c r="AZ129" s="31"/>
    </row>
    <row r="130" spans="52:52" x14ac:dyDescent="0.2">
      <c r="AZ130" s="31"/>
    </row>
    <row r="131" spans="52:52" x14ac:dyDescent="0.2">
      <c r="AZ131" s="31"/>
    </row>
    <row r="132" spans="52:52" x14ac:dyDescent="0.2">
      <c r="AZ132" s="31"/>
    </row>
    <row r="133" spans="52:52" x14ac:dyDescent="0.2">
      <c r="AZ133" s="31"/>
    </row>
    <row r="134" spans="52:52" x14ac:dyDescent="0.2">
      <c r="AZ134" s="31"/>
    </row>
    <row r="135" spans="52:52" x14ac:dyDescent="0.2">
      <c r="AZ135" s="31"/>
    </row>
    <row r="136" spans="52:52" x14ac:dyDescent="0.2">
      <c r="AZ136" s="31"/>
    </row>
    <row r="137" spans="52:52" x14ac:dyDescent="0.2">
      <c r="AZ137" s="31"/>
    </row>
    <row r="138" spans="52:52" x14ac:dyDescent="0.2">
      <c r="AZ138" s="31"/>
    </row>
    <row r="139" spans="52:52" x14ac:dyDescent="0.2">
      <c r="AZ139" s="31"/>
    </row>
    <row r="140" spans="52:52" x14ac:dyDescent="0.2">
      <c r="AZ140" s="31"/>
    </row>
    <row r="141" spans="52:52" x14ac:dyDescent="0.2">
      <c r="AZ141" s="31"/>
    </row>
    <row r="142" spans="52:52" x14ac:dyDescent="0.2">
      <c r="AZ142" s="31"/>
    </row>
    <row r="143" spans="52:52" x14ac:dyDescent="0.2">
      <c r="AZ143" s="31"/>
    </row>
    <row r="144" spans="52:52" x14ac:dyDescent="0.2">
      <c r="AZ144" s="31"/>
    </row>
    <row r="145" spans="52:52" x14ac:dyDescent="0.2">
      <c r="AZ145" s="31"/>
    </row>
    <row r="146" spans="52:52" x14ac:dyDescent="0.2">
      <c r="AZ146" s="31"/>
    </row>
    <row r="147" spans="52:52" x14ac:dyDescent="0.2">
      <c r="AZ147" s="31"/>
    </row>
    <row r="148" spans="52:52" x14ac:dyDescent="0.2">
      <c r="AZ148" s="31"/>
    </row>
    <row r="149" spans="52:52" x14ac:dyDescent="0.2">
      <c r="AZ149" s="31"/>
    </row>
    <row r="150" spans="52:52" x14ac:dyDescent="0.2">
      <c r="AZ150" s="31"/>
    </row>
    <row r="151" spans="52:52" x14ac:dyDescent="0.2">
      <c r="AZ151" s="31"/>
    </row>
    <row r="152" spans="52:52" x14ac:dyDescent="0.2">
      <c r="AZ152" s="31"/>
    </row>
    <row r="153" spans="52:52" x14ac:dyDescent="0.2">
      <c r="AZ153" s="31"/>
    </row>
    <row r="154" spans="52:52" x14ac:dyDescent="0.2">
      <c r="AZ154" s="31"/>
    </row>
    <row r="155" spans="52:52" x14ac:dyDescent="0.2">
      <c r="AZ155" s="31"/>
    </row>
    <row r="156" spans="52:52" x14ac:dyDescent="0.2">
      <c r="AZ156" s="31"/>
    </row>
    <row r="157" spans="52:52" x14ac:dyDescent="0.2">
      <c r="AZ157" s="31"/>
    </row>
    <row r="158" spans="52:52" x14ac:dyDescent="0.2">
      <c r="AZ158" s="31"/>
    </row>
    <row r="159" spans="52:52" x14ac:dyDescent="0.2">
      <c r="AZ159" s="31"/>
    </row>
    <row r="160" spans="52:52" x14ac:dyDescent="0.2">
      <c r="AZ160" s="31"/>
    </row>
    <row r="161" spans="52:52" x14ac:dyDescent="0.2">
      <c r="AZ161" s="31"/>
    </row>
    <row r="162" spans="52:52" x14ac:dyDescent="0.2">
      <c r="AZ162" s="31"/>
    </row>
    <row r="163" spans="52:52" x14ac:dyDescent="0.2">
      <c r="AZ163" s="31"/>
    </row>
    <row r="164" spans="52:52" x14ac:dyDescent="0.2">
      <c r="AZ164" s="31"/>
    </row>
    <row r="165" spans="52:52" x14ac:dyDescent="0.2">
      <c r="AZ165" s="31"/>
    </row>
    <row r="166" spans="52:52" x14ac:dyDescent="0.2">
      <c r="AZ166" s="31"/>
    </row>
    <row r="167" spans="52:52" x14ac:dyDescent="0.2">
      <c r="AZ167" s="31"/>
    </row>
    <row r="168" spans="52:52" x14ac:dyDescent="0.2">
      <c r="AZ168" s="31"/>
    </row>
    <row r="169" spans="52:52" x14ac:dyDescent="0.2">
      <c r="AZ169" s="31"/>
    </row>
    <row r="170" spans="52:52" x14ac:dyDescent="0.2">
      <c r="AZ170" s="31"/>
    </row>
    <row r="171" spans="52:52" x14ac:dyDescent="0.2">
      <c r="AZ171" s="31"/>
    </row>
    <row r="172" spans="52:52" x14ac:dyDescent="0.2">
      <c r="AZ172" s="31"/>
    </row>
    <row r="173" spans="52:52" x14ac:dyDescent="0.2">
      <c r="AZ173" s="31"/>
    </row>
    <row r="174" spans="52:52" x14ac:dyDescent="0.2">
      <c r="AZ174" s="31"/>
    </row>
    <row r="175" spans="52:52" x14ac:dyDescent="0.2">
      <c r="AZ175" s="31"/>
    </row>
    <row r="176" spans="52:52" x14ac:dyDescent="0.2">
      <c r="AZ176" s="31"/>
    </row>
    <row r="177" spans="52:52" x14ac:dyDescent="0.2">
      <c r="AZ177" s="31"/>
    </row>
    <row r="178" spans="52:52" x14ac:dyDescent="0.2">
      <c r="AZ178" s="31"/>
    </row>
    <row r="179" spans="52:52" x14ac:dyDescent="0.2">
      <c r="AZ179" s="31"/>
    </row>
    <row r="180" spans="52:52" x14ac:dyDescent="0.2">
      <c r="AZ180" s="31"/>
    </row>
    <row r="181" spans="52:52" x14ac:dyDescent="0.2">
      <c r="AZ181" s="31"/>
    </row>
    <row r="182" spans="52:52" x14ac:dyDescent="0.2">
      <c r="AZ182" s="31"/>
    </row>
    <row r="183" spans="52:52" x14ac:dyDescent="0.2">
      <c r="AZ183" s="31"/>
    </row>
    <row r="184" spans="52:52" x14ac:dyDescent="0.2">
      <c r="AZ184" s="31"/>
    </row>
    <row r="185" spans="52:52" x14ac:dyDescent="0.2">
      <c r="AZ185" s="31"/>
    </row>
    <row r="186" spans="52:52" x14ac:dyDescent="0.2">
      <c r="AZ186" s="31"/>
    </row>
    <row r="187" spans="52:52" x14ac:dyDescent="0.2">
      <c r="AZ187" s="31"/>
    </row>
    <row r="188" spans="52:52" x14ac:dyDescent="0.2">
      <c r="AZ188" s="31"/>
    </row>
    <row r="189" spans="52:52" x14ac:dyDescent="0.2">
      <c r="AZ189" s="31"/>
    </row>
    <row r="190" spans="52:52" x14ac:dyDescent="0.2">
      <c r="AZ190" s="31"/>
    </row>
    <row r="191" spans="52:52" x14ac:dyDescent="0.2">
      <c r="AZ191" s="31"/>
    </row>
    <row r="192" spans="52:52" x14ac:dyDescent="0.2">
      <c r="AZ192" s="31"/>
    </row>
    <row r="193" spans="52:52" x14ac:dyDescent="0.2">
      <c r="AZ193" s="31"/>
    </row>
  </sheetData>
  <sortState xmlns:xlrd2="http://schemas.microsoft.com/office/spreadsheetml/2017/richdata2" ref="B23:V26">
    <sortCondition ref="B23:B26"/>
  </sortState>
  <mergeCells count="13">
    <mergeCell ref="AU6:AX6"/>
    <mergeCell ref="AQ6:AT6"/>
    <mergeCell ref="AM6:AP6"/>
    <mergeCell ref="AI6:AL6"/>
    <mergeCell ref="B30:J30"/>
    <mergeCell ref="AE6:AH6"/>
    <mergeCell ref="AA6:AD6"/>
    <mergeCell ref="W6:Z6"/>
    <mergeCell ref="C6:F6"/>
    <mergeCell ref="G6:J6"/>
    <mergeCell ref="K6:N6"/>
    <mergeCell ref="O6:R6"/>
    <mergeCell ref="S6:V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présentation et méthode</vt:lpstr>
      <vt:lpstr>Tx mortinatalité</vt:lpstr>
    </vt:vector>
  </TitlesOfParts>
  <Company>Ministères Chargés des Affaires Sociales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Drees</dc:creator>
  <cp:lastModifiedBy>VILAIN, Annick (DREES/OSAM/BESP)</cp:lastModifiedBy>
  <cp:lastPrinted>2017-11-14T08:32:19Z</cp:lastPrinted>
  <dcterms:created xsi:type="dcterms:W3CDTF">2017-10-18T12:41:51Z</dcterms:created>
  <dcterms:modified xsi:type="dcterms:W3CDTF">2025-01-16T15:27:42Z</dcterms:modified>
</cp:coreProperties>
</file>